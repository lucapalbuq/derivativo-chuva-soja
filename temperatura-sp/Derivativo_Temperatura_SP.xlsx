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apa" sheetId="1" state="visible" r:id="rId1"/>
    <sheet xmlns:r="http://schemas.openxmlformats.org/officeDocument/2006/relationships" name="Cadeia de Strikes" sheetId="2" state="visible" r:id="rId2"/>
    <sheet xmlns:r="http://schemas.openxmlformats.org/officeDocument/2006/relationships" name="Climatologia &amp; Gráficos" sheetId="3" state="visible" r:id="rId3"/>
    <sheet xmlns:r="http://schemas.openxmlformats.org/officeDocument/2006/relationships" name="Basis Risk &amp; Hedging" sheetId="4" state="visible" r:id="rId4"/>
    <sheet xmlns:r="http://schemas.openxmlformats.org/officeDocument/2006/relationships" name="Metodologia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0\%"/>
    <numFmt numFmtId="165" formatCode="0.0%"/>
    <numFmt numFmtId="166" formatCode="&quot;R$ &quot;#,##0"/>
  </numFmts>
  <fonts count="2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20"/>
    </font>
    <font>
      <name val="Arial"/>
      <charset val="1"/>
      <family val="0"/>
      <i val="1"/>
      <color rgb="FF2E5496"/>
      <sz val="12"/>
    </font>
    <font>
      <name val="Arial"/>
      <charset val="1"/>
      <family val="0"/>
      <b val="1"/>
      <color rgb="FF1F3864"/>
      <sz val="10"/>
    </font>
    <font>
      <name val="Arial"/>
      <charset val="1"/>
      <family val="0"/>
      <color rgb="FF404040"/>
      <sz val="10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FFFFFF"/>
      <sz val="9"/>
    </font>
    <font>
      <name val="Arial"/>
      <charset val="1"/>
      <family val="0"/>
      <sz val="9"/>
    </font>
    <font>
      <name val="Arial"/>
      <charset val="1"/>
      <family val="0"/>
      <b val="1"/>
      <color rgb="FFC55A11"/>
      <sz val="11"/>
    </font>
    <font>
      <name val="Arial"/>
      <charset val="1"/>
      <family val="0"/>
      <b val="1"/>
      <sz val="9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375623"/>
      <sz val="9"/>
    </font>
    <font>
      <name val="Arial"/>
      <charset val="1"/>
      <family val="0"/>
      <color rgb="FF404040"/>
      <sz val="9"/>
    </font>
    <font>
      <name val="Arial"/>
      <charset val="1"/>
      <family val="0"/>
      <b val="1"/>
      <color rgb="FF1F3864"/>
      <sz val="9"/>
    </font>
  </fonts>
  <fills count="9">
    <fill>
      <patternFill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375623"/>
        <bgColor rgb="FF404040"/>
      </patternFill>
    </fill>
    <fill>
      <patternFill patternType="solid">
        <fgColor rgb="FFE2EFDA"/>
        <bgColor rgb="FFD6E0F0"/>
      </patternFill>
    </fill>
    <fill>
      <patternFill patternType="solid">
        <fgColor rgb="FF2E5496"/>
        <bgColor rgb="FF1F3864"/>
      </patternFill>
    </fill>
    <fill>
      <patternFill patternType="solid">
        <fgColor rgb="FFD6E0F0"/>
        <bgColor rgb="FFD9D9D9"/>
      </patternFill>
    </fill>
    <fill>
      <patternFill patternType="solid">
        <fgColor rgb="FFFFFFFF"/>
        <bgColor rgb="FFFFFFCC"/>
      </patternFill>
    </fill>
    <fill>
      <patternFill patternType="solid">
        <fgColor rgb="FFC00000"/>
        <bgColor rgb="FF800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7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center" vertical="bottom"/>
    </xf>
    <xf numFmtId="0" fontId="9" fillId="4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2" borderId="0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bottom"/>
    </xf>
    <xf numFmtId="164" fontId="13" fillId="6" borderId="1" applyAlignment="1" pivotButton="0" quotePrefix="0" xfId="0">
      <alignment horizontal="center" vertical="bottom"/>
    </xf>
    <xf numFmtId="165" fontId="13" fillId="6" borderId="1" applyAlignment="1" pivotButton="0" quotePrefix="0" xfId="0">
      <alignment horizontal="center" vertical="bottom"/>
    </xf>
    <xf numFmtId="166" fontId="13" fillId="6" borderId="1" applyAlignment="1" pivotButton="0" quotePrefix="0" xfId="0">
      <alignment horizontal="center" vertical="bottom"/>
    </xf>
    <xf numFmtId="0" fontId="13" fillId="7" borderId="1" applyAlignment="1" pivotButton="0" quotePrefix="0" xfId="0">
      <alignment horizontal="center" vertical="bottom"/>
    </xf>
    <xf numFmtId="164" fontId="13" fillId="7" borderId="1" applyAlignment="1" pivotButton="0" quotePrefix="0" xfId="0">
      <alignment horizontal="center" vertical="bottom"/>
    </xf>
    <xf numFmtId="165" fontId="13" fillId="7" borderId="1" applyAlignment="1" pivotButton="0" quotePrefix="0" xfId="0">
      <alignment horizontal="center" vertical="bottom"/>
    </xf>
    <xf numFmtId="166" fontId="13" fillId="7" borderId="1" applyAlignment="1" pivotButton="0" quotePrefix="0" xfId="0">
      <alignment horizontal="center" vertical="bottom"/>
    </xf>
    <xf numFmtId="0" fontId="11" fillId="2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20" fillId="5" borderId="0" applyAlignment="1" pivotButton="0" quotePrefix="0" xfId="0">
      <alignment horizontal="general" vertical="bottom"/>
    </xf>
    <xf numFmtId="0" fontId="12" fillId="5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bottom"/>
    </xf>
    <xf numFmtId="0" fontId="13" fillId="0" borderId="1" applyAlignment="1" pivotButton="0" quotePrefix="0" xfId="0">
      <alignment horizontal="center" vertical="bottom"/>
    </xf>
    <xf numFmtId="165" fontId="13" fillId="0" borderId="1" applyAlignment="1" pivotButton="0" quotePrefix="0" xfId="0">
      <alignment horizontal="center" vertical="bottom"/>
    </xf>
    <xf numFmtId="0" fontId="20" fillId="3" borderId="0" applyAlignment="1" pivotButton="0" quotePrefix="0" xfId="0">
      <alignment horizontal="general" vertical="bottom"/>
    </xf>
    <xf numFmtId="0" fontId="12" fillId="3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bottom"/>
    </xf>
    <xf numFmtId="166" fontId="21" fillId="0" borderId="1" applyAlignment="1" pivotButton="0" quotePrefix="0" xfId="0">
      <alignment horizontal="center" vertical="bottom"/>
    </xf>
    <xf numFmtId="3" fontId="21" fillId="0" borderId="1" applyAlignment="1" pivotButton="0" quotePrefix="0" xfId="0">
      <alignment horizontal="center" vertical="bottom"/>
    </xf>
    <xf numFmtId="165" fontId="22" fillId="0" borderId="1" applyAlignment="1" pivotButton="0" quotePrefix="0" xfId="0">
      <alignment horizontal="center" vertical="bottom"/>
    </xf>
    <xf numFmtId="0" fontId="21" fillId="7" borderId="1" applyAlignment="1" pivotButton="0" quotePrefix="0" xfId="0">
      <alignment horizontal="center" vertical="bottom"/>
    </xf>
    <xf numFmtId="0" fontId="20" fillId="8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left" vertical="top" wrapText="1"/>
    </xf>
    <xf numFmtId="0" fontId="23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center" vertical="bottom"/>
    </xf>
    <xf numFmtId="0" fontId="9" fillId="4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2" borderId="0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bottom"/>
    </xf>
    <xf numFmtId="164" fontId="13" fillId="6" borderId="1" applyAlignment="1" pivotButton="0" quotePrefix="0" xfId="0">
      <alignment horizontal="center" vertical="bottom"/>
    </xf>
    <xf numFmtId="165" fontId="13" fillId="6" borderId="1" applyAlignment="1" pivotButton="0" quotePrefix="0" xfId="0">
      <alignment horizontal="center" vertical="bottom"/>
    </xf>
    <xf numFmtId="166" fontId="13" fillId="6" borderId="1" applyAlignment="1" pivotButton="0" quotePrefix="0" xfId="0">
      <alignment horizontal="center" vertical="bottom"/>
    </xf>
    <xf numFmtId="0" fontId="13" fillId="7" borderId="1" applyAlignment="1" pivotButton="0" quotePrefix="0" xfId="0">
      <alignment horizontal="center" vertical="bottom"/>
    </xf>
    <xf numFmtId="164" fontId="13" fillId="7" borderId="1" applyAlignment="1" pivotButton="0" quotePrefix="0" xfId="0">
      <alignment horizontal="center" vertical="bottom"/>
    </xf>
    <xf numFmtId="165" fontId="13" fillId="7" borderId="1" applyAlignment="1" pivotButton="0" quotePrefix="0" xfId="0">
      <alignment horizontal="center" vertical="bottom"/>
    </xf>
    <xf numFmtId="166" fontId="13" fillId="7" borderId="1" applyAlignment="1" pivotButton="0" quotePrefix="0" xfId="0">
      <alignment horizontal="center" vertical="bottom"/>
    </xf>
    <xf numFmtId="0" fontId="11" fillId="2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20" fillId="5" borderId="0" applyAlignment="1" pivotButton="0" quotePrefix="0" xfId="0">
      <alignment horizontal="general" vertical="bottom"/>
    </xf>
    <xf numFmtId="0" fontId="12" fillId="5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bottom"/>
    </xf>
    <xf numFmtId="0" fontId="13" fillId="0" borderId="1" applyAlignment="1" pivotButton="0" quotePrefix="0" xfId="0">
      <alignment horizontal="center" vertical="bottom"/>
    </xf>
    <xf numFmtId="165" fontId="13" fillId="0" borderId="1" applyAlignment="1" pivotButton="0" quotePrefix="0" xfId="0">
      <alignment horizontal="center" vertical="bottom"/>
    </xf>
    <xf numFmtId="0" fontId="20" fillId="3" borderId="0" applyAlignment="1" pivotButton="0" quotePrefix="0" xfId="0">
      <alignment horizontal="general" vertical="bottom"/>
    </xf>
    <xf numFmtId="0" fontId="12" fillId="3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bottom"/>
    </xf>
    <xf numFmtId="166" fontId="21" fillId="0" borderId="1" applyAlignment="1" pivotButton="0" quotePrefix="0" xfId="0">
      <alignment horizontal="center" vertical="bottom"/>
    </xf>
    <xf numFmtId="3" fontId="21" fillId="0" borderId="1" applyAlignment="1" pivotButton="0" quotePrefix="0" xfId="0">
      <alignment horizontal="center" vertical="bottom"/>
    </xf>
    <xf numFmtId="165" fontId="22" fillId="0" borderId="1" applyAlignment="1" pivotButton="0" quotePrefix="0" xfId="0">
      <alignment horizontal="center" vertical="bottom"/>
    </xf>
    <xf numFmtId="0" fontId="21" fillId="7" borderId="1" applyAlignment="1" pivotButton="0" quotePrefix="0" xfId="0">
      <alignment horizontal="center" vertical="bottom"/>
    </xf>
    <xf numFmtId="0" fontId="20" fillId="8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left" vertical="top" wrapText="1"/>
    </xf>
    <xf numFmtId="0" fontId="23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6E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D9D9D9"/>
      <rgbColor rgb="FF4A7EBB"/>
      <rgbColor rgb="FF46AAC4"/>
      <rgbColor rgb="FF98B855"/>
      <rgbColor rgb="FFFFCC00"/>
      <rgbColor rgb="FFF59240"/>
      <rgbColor rgb="FFC55A11"/>
      <rgbColor rgb="FF7D5FA0"/>
      <rgbColor rgb="FF969696"/>
      <rgbColor rgb="FF1F3864"/>
      <rgbColor rgb="FF4F81BD"/>
      <rgbColor rgb="FF003300"/>
      <rgbColor rgb="FF375623"/>
      <rgbColor rgb="FF993300"/>
      <rgbColor rgb="FF595959"/>
      <rgbColor rgb="FF2E5496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São Paulo — Climatologia de CDD por Mês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'Climatologia &amp; Gráficos'!$A$4:$L$4</f>
              <strCache>
                <ptCount val="12"/>
                <pt idx="0">
                  <v>Janeiro</v>
                </pt>
                <pt idx="1">
                  <v>Fevereiro</v>
                </pt>
                <pt idx="2">
                  <v>Março</v>
                </pt>
                <pt idx="3">
                  <v>Abril</v>
                </pt>
                <pt idx="4">
                  <v>Maio</v>
                </pt>
                <pt idx="5">
                  <v>Junho</v>
                </pt>
                <pt idx="6">
                  <v>Julho</v>
                </pt>
                <pt idx="7">
                  <v>Agosto</v>
                </pt>
                <pt idx="8">
                  <v>Setembro</v>
                </pt>
                <pt idx="9">
                  <v>Outubro</v>
                </pt>
                <pt idx="10">
                  <v>Novembro</v>
                </pt>
                <pt idx="11">
                  <v>Dezembro</v>
                </pt>
              </strCache>
            </strRef>
          </cat>
          <val>
            <numRef>
              <f>'Climatologia &amp; Gráficos'!$A$5:$L$5</f>
              <numCache>
                <formatCode>General</formatCode>
                <ptCount val="12"/>
                <pt idx="0">
                  <v>137.2</v>
                </pt>
                <pt idx="1">
                  <v>125.2</v>
                </pt>
                <pt idx="2">
                  <v>115.9</v>
                </pt>
                <pt idx="3">
                  <v>69</v>
                </pt>
                <pt idx="4">
                  <v>21.8</v>
                </pt>
                <pt idx="5">
                  <v>8</v>
                </pt>
                <pt idx="6">
                  <v>7.2</v>
                </pt>
                <pt idx="7">
                  <v>27.4</v>
                </pt>
                <pt idx="8">
                  <v>62</v>
                </pt>
                <pt idx="9">
                  <v>90.8</v>
                </pt>
                <pt idx="10">
                  <v>98.5</v>
                </pt>
                <pt idx="11">
                  <v>127</v>
                </pt>
              </numCache>
            </numRef>
          </val>
        </ser>
        <gapWidth val="150"/>
        <overlap val="0"/>
        <axId val="82587849"/>
        <axId val="83550154"/>
      </barChart>
      <catAx>
        <axId val="82587849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Mês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out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83550154"/>
        <crosses val="autoZero"/>
        <auto val="1"/>
        <lblAlgn val="ctr"/>
        <lblOffset val="100"/>
        <noMultiLvlLbl val="0"/>
      </catAx>
      <valAx>
        <axId val="83550154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CDD (graus-dia)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" sourceLinked="0"/>
        <majorTickMark val="out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82587849"/>
        <crosses val="autoZero"/>
        <crossBetween val="between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São Paulo — Prêmio da CALL por Mês e Strike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'Climatologia &amp; Gráficos'!$M$26</f>
              <strCache>
                <ptCount val="1"/>
                <pt idx="0">
                  <v>-1.0σ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'Climatologia &amp; Gráficos'!$A$25:$L$25</f>
              <strCache>
                <ptCount val="12"/>
                <pt idx="0">
                  <v>Janeiro</v>
                </pt>
                <pt idx="1">
                  <v>Fevereiro</v>
                </pt>
                <pt idx="2">
                  <v>Março</v>
                </pt>
                <pt idx="3">
                  <v>Abril</v>
                </pt>
                <pt idx="4">
                  <v>Maio</v>
                </pt>
                <pt idx="5">
                  <v>Junho</v>
                </pt>
                <pt idx="6">
                  <v>Julho</v>
                </pt>
                <pt idx="7">
                  <v>Agosto</v>
                </pt>
                <pt idx="8">
                  <v>Setembro</v>
                </pt>
                <pt idx="9">
                  <v>Outubro</v>
                </pt>
                <pt idx="10">
                  <v>Novembro</v>
                </pt>
                <pt idx="11">
                  <v>Dezembro</v>
                </pt>
              </strCache>
            </strRef>
          </cat>
          <val>
            <numRef>
              <f>'Climatologia &amp; Gráficos'!$A$26:$L$26</f>
              <numCache>
                <formatCode>General</formatCode>
                <ptCount val="12"/>
                <pt idx="0">
                  <v>146258</v>
                </pt>
                <pt idx="1">
                  <v>157306</v>
                </pt>
                <pt idx="2">
                  <v>163724</v>
                </pt>
                <pt idx="3">
                  <v>127380</v>
                </pt>
                <pt idx="4">
                  <v>116261</v>
                </pt>
                <pt idx="5">
                  <v>54433</v>
                </pt>
                <pt idx="6">
                  <v>52798</v>
                </pt>
                <pt idx="7">
                  <v>126395</v>
                </pt>
                <pt idx="8">
                  <v>398858</v>
                </pt>
                <pt idx="9">
                  <v>400757</v>
                </pt>
                <pt idx="10">
                  <v>167061</v>
                </pt>
                <pt idx="11">
                  <v>185397</v>
                </pt>
              </numCache>
            </numRef>
          </val>
          <smooth val="1"/>
        </ser>
        <ser>
          <idx val="1"/>
          <order val="1"/>
          <tx>
            <strRef>
              <f>'Climatologia &amp; Gráficos'!$M$27</f>
              <strCache>
                <ptCount val="1"/>
                <pt idx="0">
                  <v>-0.5σ</v>
                </pt>
              </strCache>
            </strRef>
          </tx>
          <spPr>
            <a:solidFill xmlns:a="http://schemas.openxmlformats.org/drawingml/2006/main">
              <a:srgbClr val="be4b48"/>
            </a:solidFill>
            <a:ln xmlns:a="http://schemas.openxmlformats.org/drawingml/2006/main" w="2844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'Climatologia &amp; Gráficos'!$A$25:$L$25</f>
              <strCache>
                <ptCount val="12"/>
                <pt idx="0">
                  <v>Janeiro</v>
                </pt>
                <pt idx="1">
                  <v>Fevereiro</v>
                </pt>
                <pt idx="2">
                  <v>Março</v>
                </pt>
                <pt idx="3">
                  <v>Abril</v>
                </pt>
                <pt idx="4">
                  <v>Maio</v>
                </pt>
                <pt idx="5">
                  <v>Junho</v>
                </pt>
                <pt idx="6">
                  <v>Julho</v>
                </pt>
                <pt idx="7">
                  <v>Agosto</v>
                </pt>
                <pt idx="8">
                  <v>Setembro</v>
                </pt>
                <pt idx="9">
                  <v>Outubro</v>
                </pt>
                <pt idx="10">
                  <v>Novembro</v>
                </pt>
                <pt idx="11">
                  <v>Dezembro</v>
                </pt>
              </strCache>
            </strRef>
          </cat>
          <val>
            <numRef>
              <f>'Climatologia &amp; Gráficos'!$A$27:$L$27</f>
              <numCache>
                <formatCode>General</formatCode>
                <ptCount val="12"/>
                <pt idx="0">
                  <v>111620</v>
                </pt>
                <pt idx="1">
                  <v>117556</v>
                </pt>
                <pt idx="2">
                  <v>116705</v>
                </pt>
                <pt idx="3">
                  <v>87416</v>
                </pt>
                <pt idx="4">
                  <v>77922</v>
                </pt>
                <pt idx="5">
                  <v>47024</v>
                </pt>
                <pt idx="6">
                  <v>45892</v>
                </pt>
                <pt idx="7">
                  <v>90498</v>
                </pt>
                <pt idx="8">
                  <v>302067</v>
                </pt>
                <pt idx="9">
                  <v>296141</v>
                </pt>
                <pt idx="10">
                  <v>109516</v>
                </pt>
                <pt idx="11">
                  <v>134576</v>
                </pt>
              </numCache>
            </numRef>
          </val>
          <smooth val="1"/>
        </ser>
        <ser>
          <idx val="2"/>
          <order val="2"/>
          <tx>
            <strRef>
              <f>'Climatologia &amp; Gráficos'!$M$28</f>
              <strCache>
                <ptCount val="1"/>
                <pt idx="0">
                  <v>+0.0σ</v>
                </pt>
              </strCache>
            </strRef>
          </tx>
          <spPr>
            <a:solidFill xmlns:a="http://schemas.openxmlformats.org/drawingml/2006/main">
              <a:srgbClr val="98b855"/>
            </a:solidFill>
            <a:ln xmlns:a="http://schemas.openxmlformats.org/drawingml/2006/main" w="28440">
              <a:solidFill>
                <a:srgbClr val="98b85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'Climatologia &amp; Gráficos'!$A$25:$L$25</f>
              <strCache>
                <ptCount val="12"/>
                <pt idx="0">
                  <v>Janeiro</v>
                </pt>
                <pt idx="1">
                  <v>Fevereiro</v>
                </pt>
                <pt idx="2">
                  <v>Março</v>
                </pt>
                <pt idx="3">
                  <v>Abril</v>
                </pt>
                <pt idx="4">
                  <v>Maio</v>
                </pt>
                <pt idx="5">
                  <v>Junho</v>
                </pt>
                <pt idx="6">
                  <v>Julho</v>
                </pt>
                <pt idx="7">
                  <v>Agosto</v>
                </pt>
                <pt idx="8">
                  <v>Setembro</v>
                </pt>
                <pt idx="9">
                  <v>Outubro</v>
                </pt>
                <pt idx="10">
                  <v>Novembro</v>
                </pt>
                <pt idx="11">
                  <v>Dezembro</v>
                </pt>
              </strCache>
            </strRef>
          </cat>
          <val>
            <numRef>
              <f>'Climatologia &amp; Gráficos'!$A$28:$L$28</f>
              <numCache>
                <formatCode>General</formatCode>
                <ptCount val="12"/>
                <pt idx="0">
                  <v>79557</v>
                </pt>
                <pt idx="1">
                  <v>84038</v>
                </pt>
                <pt idx="2">
                  <v>80267</v>
                </pt>
                <pt idx="3">
                  <v>55360</v>
                </pt>
                <pt idx="4">
                  <v>47903</v>
                </pt>
                <pt idx="5">
                  <v>34407</v>
                </pt>
                <pt idx="6">
                  <v>32867</v>
                </pt>
                <pt idx="7">
                  <v>58650</v>
                </pt>
                <pt idx="8">
                  <v>210806</v>
                </pt>
                <pt idx="9">
                  <v>201210</v>
                </pt>
                <pt idx="10">
                  <v>61705</v>
                </pt>
                <pt idx="11">
                  <v>85146</v>
                </pt>
              </numCache>
            </numRef>
          </val>
          <smooth val="1"/>
        </ser>
        <ser>
          <idx val="3"/>
          <order val="3"/>
          <tx>
            <strRef>
              <f>'Climatologia &amp; Gráficos'!$M$29</f>
              <strCache>
                <ptCount val="1"/>
                <pt idx="0">
                  <v>+0.5σ</v>
                </pt>
              </strCache>
            </strRef>
          </tx>
          <spPr>
            <a:solidFill xmlns:a="http://schemas.openxmlformats.org/drawingml/2006/main">
              <a:srgbClr val="7d5fa0"/>
            </a:solidFill>
            <a:ln xmlns:a="http://schemas.openxmlformats.org/drawingml/2006/main" w="28440">
              <a:solidFill>
                <a:srgbClr val="7d5fa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'Climatologia &amp; Gráficos'!$A$25:$L$25</f>
              <strCache>
                <ptCount val="12"/>
                <pt idx="0">
                  <v>Janeiro</v>
                </pt>
                <pt idx="1">
                  <v>Fevereiro</v>
                </pt>
                <pt idx="2">
                  <v>Março</v>
                </pt>
                <pt idx="3">
                  <v>Abril</v>
                </pt>
                <pt idx="4">
                  <v>Maio</v>
                </pt>
                <pt idx="5">
                  <v>Junho</v>
                </pt>
                <pt idx="6">
                  <v>Julho</v>
                </pt>
                <pt idx="7">
                  <v>Agosto</v>
                </pt>
                <pt idx="8">
                  <v>Setembro</v>
                </pt>
                <pt idx="9">
                  <v>Outubro</v>
                </pt>
                <pt idx="10">
                  <v>Novembro</v>
                </pt>
                <pt idx="11">
                  <v>Dezembro</v>
                </pt>
              </strCache>
            </strRef>
          </cat>
          <val>
            <numRef>
              <f>'Climatologia &amp; Gráficos'!$A$29:$L$29</f>
              <numCache>
                <formatCode>General</formatCode>
                <ptCount val="12"/>
                <pt idx="0">
                  <v>55956</v>
                </pt>
                <pt idx="1">
                  <v>64203</v>
                </pt>
                <pt idx="2">
                  <v>53652</v>
                </pt>
                <pt idx="3">
                  <v>29043</v>
                </pt>
                <pt idx="4">
                  <v>29374</v>
                </pt>
                <pt idx="5">
                  <v>23904</v>
                </pt>
                <pt idx="6">
                  <v>24249</v>
                </pt>
                <pt idx="7">
                  <v>33627</v>
                </pt>
                <pt idx="8">
                  <v>128548</v>
                </pt>
                <pt idx="9">
                  <v>121515</v>
                </pt>
                <pt idx="10">
                  <v>26468</v>
                </pt>
                <pt idx="11">
                  <v>40523</v>
                </pt>
              </numCache>
            </numRef>
          </val>
          <smooth val="1"/>
        </ser>
        <ser>
          <idx val="4"/>
          <order val="4"/>
          <tx>
            <strRef>
              <f>'Climatologia &amp; Gráficos'!$M$30</f>
              <strCache>
                <ptCount val="1"/>
                <pt idx="0">
                  <v>+1.0σ</v>
                </pt>
              </strCache>
            </strRef>
          </tx>
          <spPr>
            <a:solidFill xmlns:a="http://schemas.openxmlformats.org/drawingml/2006/main">
              <a:srgbClr val="46aac4"/>
            </a:solidFill>
            <a:ln xmlns:a="http://schemas.openxmlformats.org/drawingml/2006/main" w="28440">
              <a:solidFill>
                <a:srgbClr val="46aac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'Climatologia &amp; Gráficos'!$A$25:$L$25</f>
              <strCache>
                <ptCount val="12"/>
                <pt idx="0">
                  <v>Janeiro</v>
                </pt>
                <pt idx="1">
                  <v>Fevereiro</v>
                </pt>
                <pt idx="2">
                  <v>Março</v>
                </pt>
                <pt idx="3">
                  <v>Abril</v>
                </pt>
                <pt idx="4">
                  <v>Maio</v>
                </pt>
                <pt idx="5">
                  <v>Junho</v>
                </pt>
                <pt idx="6">
                  <v>Julho</v>
                </pt>
                <pt idx="7">
                  <v>Agosto</v>
                </pt>
                <pt idx="8">
                  <v>Setembro</v>
                </pt>
                <pt idx="9">
                  <v>Outubro</v>
                </pt>
                <pt idx="10">
                  <v>Novembro</v>
                </pt>
                <pt idx="11">
                  <v>Dezembro</v>
                </pt>
              </strCache>
            </strRef>
          </cat>
          <val>
            <numRef>
              <f>'Climatologia &amp; Gráficos'!$A$30:$L$30</f>
              <numCache>
                <formatCode>General</formatCode>
                <ptCount val="12"/>
                <pt idx="0">
                  <v>36413</v>
                </pt>
                <pt idx="1">
                  <v>49416</v>
                </pt>
                <pt idx="2">
                  <v>32035</v>
                </pt>
                <pt idx="3">
                  <v>6573</v>
                </pt>
                <pt idx="4">
                  <v>14560</v>
                </pt>
                <pt idx="5">
                  <v>15285</v>
                </pt>
                <pt idx="6">
                  <v>19097</v>
                </pt>
                <pt idx="7">
                  <v>18698</v>
                </pt>
                <pt idx="8">
                  <v>61443</v>
                </pt>
                <pt idx="9">
                  <v>47798</v>
                </pt>
                <pt idx="10">
                  <v>6217</v>
                </pt>
                <pt idx="11">
                  <v>12528</v>
                </pt>
              </numCache>
            </numRef>
          </val>
          <smooth val="1"/>
        </ser>
        <ser>
          <idx val="5"/>
          <order val="5"/>
          <tx>
            <strRef>
              <f>'Climatologia &amp; Gráficos'!$M$31</f>
              <strCache>
                <ptCount val="1"/>
                <pt idx="0">
                  <v>+1.5σ</v>
                </pt>
              </strCache>
            </strRef>
          </tx>
          <spPr>
            <a:solidFill xmlns:a="http://schemas.openxmlformats.org/drawingml/2006/main">
              <a:srgbClr val="f59240"/>
            </a:solidFill>
            <a:ln xmlns:a="http://schemas.openxmlformats.org/drawingml/2006/main" w="28440">
              <a:solidFill>
                <a:srgbClr val="f5924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'Climatologia &amp; Gráficos'!$A$25:$L$25</f>
              <strCache>
                <ptCount val="12"/>
                <pt idx="0">
                  <v>Janeiro</v>
                </pt>
                <pt idx="1">
                  <v>Fevereiro</v>
                </pt>
                <pt idx="2">
                  <v>Março</v>
                </pt>
                <pt idx="3">
                  <v>Abril</v>
                </pt>
                <pt idx="4">
                  <v>Maio</v>
                </pt>
                <pt idx="5">
                  <v>Junho</v>
                </pt>
                <pt idx="6">
                  <v>Julho</v>
                </pt>
                <pt idx="7">
                  <v>Agosto</v>
                </pt>
                <pt idx="8">
                  <v>Setembro</v>
                </pt>
                <pt idx="9">
                  <v>Outubro</v>
                </pt>
                <pt idx="10">
                  <v>Novembro</v>
                </pt>
                <pt idx="11">
                  <v>Dezembro</v>
                </pt>
              </strCache>
            </strRef>
          </cat>
          <val>
            <numRef>
              <f>'Climatologia &amp; Gráficos'!$A$31:$L$31</f>
              <numCache>
                <formatCode>General</formatCode>
                <ptCount val="12"/>
                <pt idx="0">
                  <v>16413</v>
                </pt>
                <pt idx="1">
                  <v>38602</v>
                </pt>
                <pt idx="2">
                  <v>17015</v>
                </pt>
                <pt idx="3">
                  <v>3626</v>
                </pt>
                <pt idx="4">
                  <v>6534</v>
                </pt>
                <pt idx="5">
                  <v>8619</v>
                </pt>
                <pt idx="6">
                  <v>15995</v>
                </pt>
                <pt idx="7">
                  <v>7276</v>
                </pt>
                <pt idx="8">
                  <v>31058</v>
                </pt>
                <pt idx="9">
                  <v>5080</v>
                </pt>
                <pt idx="10">
                  <v>3609</v>
                </pt>
                <pt idx="11">
                  <v>4311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22521635"/>
        <axId val="39262522"/>
      </lineChart>
      <catAx>
        <axId val="22521635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Mês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out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39262522"/>
        <crosses val="autoZero"/>
        <auto val="1"/>
        <lblAlgn val="ctr"/>
        <lblOffset val="100"/>
        <noMultiLvlLbl val="0"/>
      </catAx>
      <valAx>
        <axId val="39262522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Prêmio (R$)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&quot;R$ &quot;#,##0" sourceLinked="0"/>
        <majorTickMark val="out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22521635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Hedging Effectiveness por Strike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'Basis Risk &amp; Hedging'!F16</f>
              <strCache>
                <ptCount val="1"/>
                <pt idx="0">
                  <v>Efetividade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'Basis Risk &amp; Hedging'!$A$17:$A$19</f>
              <strCache>
                <ptCount val="3"/>
                <pt idx="0">
                  <v>-0.5σ</v>
                </pt>
                <pt idx="1">
                  <v>+0.0σ</v>
                </pt>
                <pt idx="2">
                  <v>+1.0σ</v>
                </pt>
              </strCache>
            </strRef>
          </cat>
          <val>
            <numRef>
              <f>'Basis Risk &amp; Hedging'!$F$17:$F$19</f>
              <numCache>
                <formatCode>0.0%</formatCode>
                <ptCount val="3"/>
                <pt idx="0">
                  <v>0.605</v>
                </pt>
                <pt idx="1">
                  <v>0.486</v>
                </pt>
                <pt idx="2">
                  <v>0.198</v>
                </pt>
              </numCache>
            </numRef>
          </val>
        </ser>
        <gapWidth val="150"/>
        <overlap val="0"/>
        <axId val="72579081"/>
        <axId val="48886700"/>
      </barChart>
      <catAx>
        <axId val="72579081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Strike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48886700"/>
        <crosses val="autoZero"/>
        <auto val="1"/>
        <lblAlgn val="ctr"/>
        <lblOffset val="100"/>
        <noMultiLvlLbl val="0"/>
      </catAx>
      <valAx>
        <axId val="48886700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Redução de semi-variância (%)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%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72579081"/>
        <crosses val="autoZero"/>
        <crossBetween val="between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6</row>
      <rowOff>0</rowOff>
    </from>
    <to>
      <col>9</col>
      <colOff>221400</colOff>
      <row>21</row>
      <rowOff>21600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0</col>
      <colOff>0</colOff>
      <row>32</row>
      <rowOff>0</rowOff>
    </from>
    <to>
      <col>9</col>
      <colOff>221400</colOff>
      <row>49</row>
      <rowOff>720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10</col>
      <colOff>0</colOff>
      <row>7</row>
      <rowOff>0</rowOff>
    </from>
    <to>
      <col>19</col>
      <colOff>255600</colOff>
      <row>20</row>
      <rowOff>126720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H2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39" min="1" max="1"/>
    <col width="26" customWidth="1" style="39" min="2" max="2"/>
    <col width="15" customWidth="1" style="39" min="3" max="8"/>
  </cols>
  <sheetData>
    <row r="1"/>
    <row r="2" ht="39.75" customHeight="1" s="40">
      <c r="B2" s="41" t="inlineStr">
        <is>
          <t>DERIVATIVO PARAMÉTRICO DE TEMPERATURA (CDD)</t>
        </is>
      </c>
    </row>
    <row r="3" ht="24" customHeight="1" s="40">
      <c r="B3" s="42" t="inlineStr">
        <is>
          <t>Estrutura estilo CME (Cooling Degree Days) para hedge de exposição de geradores ao PLD — São Paulo / SE-CO</t>
        </is>
      </c>
    </row>
    <row r="4"/>
    <row r="5" ht="45.75" customHeight="1" s="40">
      <c r="B5" s="43" t="inlineStr">
        <is>
          <t>O QUE É</t>
        </is>
      </c>
      <c r="C5" s="44" t="inlineStr">
        <is>
          <t>Uma CALL de graus-dia de resfriamento (CDD) — não uma PUT. Paga quando o mês fica MAIS quente que o strike, protegendo geradores que precisam comprar energia no mercado de curto prazo (PLD) quando a demanda por ar-condicionado dispara.</t>
        </is>
      </c>
    </row>
    <row r="6"/>
    <row r="7" ht="45.75" customHeight="1" s="40">
      <c r="B7" s="43" t="inlineStr">
        <is>
          <t>SUBJACENTE</t>
        </is>
      </c>
      <c r="C7" s="44" t="inlineStr">
        <is>
          <t>CDD mensal = soma diária de max(0, T_média − 18,33°C [65°F]), fórmula exata do CME. T_média = (T2M_MAX+T2M_MIN)/2. Dados NASA POWER, 1981–2026 (45 anos).</t>
        </is>
      </c>
    </row>
    <row r="8"/>
    <row r="9" ht="45.75" customHeight="1" s="40">
      <c r="B9" s="43" t="inlineStr">
        <is>
          <t>MECANISMO</t>
        </is>
      </c>
      <c r="C9" s="44" t="inlineStr">
        <is>
          <t>Temperatura → carga do submercado SE/CO → PLD. Testado com dado real: CDD→carga é forte (R²=0,654, controlado por dia da semana); carga/CDD→PLD é fraco (r≈0,08–0,13) — PLD no Brasil é dominado por valor da água, não por demanda.</t>
        </is>
      </c>
    </row>
    <row r="10"/>
    <row r="11" ht="45.75" customHeight="1" s="40">
      <c r="B11" s="43" t="inlineStr">
        <is>
          <t>PRECIFICAÇÃO</t>
        </is>
      </c>
      <c r="C11" s="44" t="inlineStr">
        <is>
          <t>HBA + Monte Carlo via BOOTSTRAP DE PARES (CDD,PLD) reais — não um tick fixo. Preserva a correlação fraca real entre os dois, em vez de presumir uma relação mais forte do que existe.</t>
        </is>
      </c>
    </row>
    <row r="12"/>
    <row r="13" ht="45.75" customHeight="1" s="40">
      <c r="B13" s="43" t="inlineStr">
        <is>
          <t>COBERTURA</t>
        </is>
      </c>
      <c r="C13" s="44" t="inlineStr">
        <is>
          <t>12 contratos mensais (ano civil completo) — geração de energia não tem entressafra.</t>
        </is>
      </c>
    </row>
    <row r="14"/>
    <row r="15" ht="45.75" customHeight="1" s="40">
      <c r="B15" s="43" t="inlineStr">
        <is>
          <t>DESCONTO</t>
        </is>
      </c>
      <c r="C15" s="44" t="inlineStr">
        <is>
          <t>Curva de juros futura (ETTJ ANBIMA) por vencimento — mesma metodologia do projeto de referência.</t>
        </is>
      </c>
    </row>
    <row r="16"/>
    <row r="17" ht="45.75" customHeight="1" s="40">
      <c r="B17" s="43" t="inlineStr">
        <is>
          <t>HEDGING EFFECTIVENESS</t>
        </is>
      </c>
      <c r="C17" s="44" t="inlineStr">
        <is>
          <t>Redução de semi-variância (Vedenov-Barnett, adaptada para UPM — risco de custo, não receita): até 60,5% no strike mais conservador — resultado POSITIVO, diferente do produto agrícola de referência.</t>
        </is>
      </c>
    </row>
    <row r="18"/>
    <row r="19"/>
    <row r="20" ht="21.75" customHeight="1" s="40">
      <c r="B20" s="45" t="inlineStr">
        <is>
          <t>ESPECIFICAÇÃO DO CONTRATO (CONTRACT SPEC)</t>
        </is>
      </c>
    </row>
    <row r="21" ht="15" customHeight="1" s="40">
      <c r="B21" s="46" t="inlineStr">
        <is>
          <t>Instrumento</t>
        </is>
      </c>
      <c r="C21" s="47" t="inlineStr">
        <is>
          <t>CALL sobre índice de graus-dia (CDD)</t>
        </is>
      </c>
    </row>
    <row r="22" ht="15" customHeight="1" s="40">
      <c r="B22" s="46" t="inlineStr">
        <is>
          <t>Temperatura de referência</t>
        </is>
      </c>
      <c r="C22" s="47" t="inlineStr">
        <is>
          <t>65°F / 18,33°C (convenção CME)</t>
        </is>
      </c>
    </row>
    <row r="23" ht="15" customHeight="1" s="40">
      <c r="B23" s="46" t="inlineStr">
        <is>
          <t>Localização</t>
        </is>
      </c>
      <c r="C23" s="47" t="inlineStr">
        <is>
          <t>São Paulo, SP (ponto NASA POWER -23,55/-46,63) — proxy do submercado SE/CO</t>
        </is>
      </c>
    </row>
    <row r="24" ht="15" customHeight="1" s="40">
      <c r="B24" s="46" t="inlineStr">
        <is>
          <t>Strikes disponíveis</t>
        </is>
      </c>
      <c r="C24" s="47" t="inlineStr">
        <is>
          <t>±1,5σ a partir da média climatológica mensal (6 níveis)</t>
        </is>
      </c>
    </row>
    <row r="25" ht="15" customHeight="1" s="40">
      <c r="B25" s="46" t="inlineStr">
        <is>
          <t>Slope de conversão</t>
        </is>
      </c>
      <c r="C25" s="47" t="inlineStr">
        <is>
          <t>21,10 MW por ponto de CDD (calibrado, regressão diária controlada por dia da semana, R²=0,654)</t>
        </is>
      </c>
    </row>
    <row r="26" ht="15" customHeight="1" s="40">
      <c r="B26" s="46" t="inlineStr">
        <is>
          <t>Carga de risco</t>
        </is>
      </c>
      <c r="C26" s="47" t="inlineStr">
        <is>
          <t>20% sobre o payoff esperado</t>
        </is>
      </c>
    </row>
    <row r="27" ht="15" customHeight="1" s="40">
      <c r="B27" s="46" t="inlineStr">
        <is>
          <t>Fonte de PLD</t>
        </is>
      </c>
      <c r="C27" s="47" t="inlineStr">
        <is>
          <t>CCEE, Preço Médio Semanal SUDESTE, 2003–2025 (exclui 2001-2002, racionamento/apagão)</t>
        </is>
      </c>
    </row>
    <row r="28" ht="15" customHeight="1" s="40">
      <c r="B28" s="46" t="inlineStr">
        <is>
          <t>Total de contratos</t>
        </is>
      </c>
      <c r="C28" s="47" t="inlineStr">
        <is>
          <t>72 (12 meses × 6 strikes)</t>
        </is>
      </c>
    </row>
  </sheetData>
  <mergeCells count="18">
    <mergeCell ref="B2:H2"/>
    <mergeCell ref="B3:H3"/>
    <mergeCell ref="C5:H5"/>
    <mergeCell ref="C7:H7"/>
    <mergeCell ref="C9:H9"/>
    <mergeCell ref="C11:H11"/>
    <mergeCell ref="C13:H13"/>
    <mergeCell ref="C15:H15"/>
    <mergeCell ref="C17:H17"/>
    <mergeCell ref="B20:H20"/>
    <mergeCell ref="C21:H21"/>
    <mergeCell ref="C22:H22"/>
    <mergeCell ref="C23:H23"/>
    <mergeCell ref="C24:H24"/>
    <mergeCell ref="C25:H25"/>
    <mergeCell ref="C26:H26"/>
    <mergeCell ref="C27:H27"/>
    <mergeCell ref="C28:H28"/>
  </mergeCells>
  <printOptions horizontalCentered="0" verticalCentered="0" headings="0" gridLines="0" gridLinesSet="1"/>
  <pageMargins left="0.3" right="0.3" top="0.4" bottom="0.4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O7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39" min="1" max="2"/>
    <col width="13" customWidth="1" style="39" min="3" max="3"/>
    <col width="11" customWidth="1" style="39" min="4" max="4"/>
    <col width="12" customWidth="1" style="39" min="5" max="5"/>
    <col width="8" customWidth="1" style="39" min="6" max="6"/>
    <col width="9" customWidth="1" style="39" min="7" max="7"/>
    <col width="11" customWidth="1" style="39" min="8" max="8"/>
    <col width="10" customWidth="1" style="39" min="9" max="9"/>
    <col width="9" customWidth="1" style="39" min="10" max="10"/>
    <col width="14" customWidth="1" style="39" min="11" max="15"/>
  </cols>
  <sheetData>
    <row r="1" ht="25.5" customHeight="1" s="40">
      <c r="A1" s="48" t="inlineStr">
        <is>
          <t>CADEIA DE STRIKES — PRÊMIOS POR CONTRATO (12 meses, São Paulo)</t>
        </is>
      </c>
    </row>
    <row r="2"/>
    <row r="3" ht="30" customHeight="1" s="40">
      <c r="A3" s="49" t="inlineStr">
        <is>
          <t>Mês</t>
        </is>
      </c>
      <c r="B3" s="49" t="inlineStr">
        <is>
          <t>Liquidação</t>
        </is>
      </c>
      <c r="C3" s="49" t="inlineStr">
        <is>
          <t>Taxa Juros (%a.a.)</t>
        </is>
      </c>
      <c r="D3" s="49" t="inlineStr">
        <is>
          <t>CDD Médio</t>
        </is>
      </c>
      <c r="E3" s="49" t="inlineStr">
        <is>
          <t>CDD Desvio-Pad.</t>
        </is>
      </c>
      <c r="F3" s="49" t="inlineStr">
        <is>
          <t>N Anos</t>
        </is>
      </c>
      <c r="G3" s="49" t="inlineStr">
        <is>
          <t>Strike</t>
        </is>
      </c>
      <c r="H3" s="49" t="inlineStr">
        <is>
          <t>Strike (CDD)</t>
        </is>
      </c>
      <c r="I3" s="49" t="inlineStr">
        <is>
          <t>Prob. Hist.</t>
        </is>
      </c>
      <c r="J3" s="49" t="inlineStr">
        <is>
          <t>Prob. MC</t>
        </is>
      </c>
      <c r="K3" s="49" t="inlineStr">
        <is>
          <t>Prêmio HBA (R$)</t>
        </is>
      </c>
      <c r="L3" s="49" t="inlineStr">
        <is>
          <t>Prêmio MC (R$)</t>
        </is>
      </c>
      <c r="M3" s="49" t="inlineStr">
        <is>
          <t>Prêmio Médio (R$)</t>
        </is>
      </c>
      <c r="N3" s="49" t="inlineStr">
        <is>
          <t>VaR95 Vend. (R$)</t>
        </is>
      </c>
      <c r="O3" s="49" t="inlineStr">
        <is>
          <t>Payoff P99 (R$)</t>
        </is>
      </c>
    </row>
    <row r="4" ht="15" customHeight="1" s="40">
      <c r="A4" s="50" t="inlineStr">
        <is>
          <t>Janeiro</t>
        </is>
      </c>
      <c r="B4" s="50" t="inlineStr">
        <is>
          <t>2027-02-06</t>
        </is>
      </c>
      <c r="C4" s="51" t="n">
        <v>13.2952</v>
      </c>
      <c r="D4" s="50" t="n">
        <v>137.2</v>
      </c>
      <c r="E4" s="50" t="n">
        <v>28.8</v>
      </c>
      <c r="F4" s="50" t="n">
        <v>23</v>
      </c>
      <c r="G4" s="50" t="inlineStr">
        <is>
          <t>-1.0σ</t>
        </is>
      </c>
      <c r="H4" s="50" t="n">
        <v>108.4</v>
      </c>
      <c r="I4" s="52" t="n">
        <v>0.87</v>
      </c>
      <c r="J4" s="52" t="n">
        <v>0.872</v>
      </c>
      <c r="K4" s="53" t="n">
        <v>151932.24</v>
      </c>
      <c r="L4" s="53" t="n">
        <v>153847.68</v>
      </c>
      <c r="M4" s="53" t="n">
        <v>152889.96</v>
      </c>
      <c r="N4" s="53" t="n">
        <v>684329.84</v>
      </c>
      <c r="O4" s="53" t="n">
        <v>753467.3199999999</v>
      </c>
    </row>
    <row r="5" ht="15" customHeight="1" s="40">
      <c r="A5" s="50" t="inlineStr">
        <is>
          <t>Janeiro</t>
        </is>
      </c>
      <c r="B5" s="50" t="inlineStr">
        <is>
          <t>2027-02-06</t>
        </is>
      </c>
      <c r="C5" s="51" t="n">
        <v>13.2952</v>
      </c>
      <c r="D5" s="50" t="n">
        <v>137.2</v>
      </c>
      <c r="E5" s="50" t="n">
        <v>28.8</v>
      </c>
      <c r="F5" s="50" t="n">
        <v>23</v>
      </c>
      <c r="G5" s="50" t="inlineStr">
        <is>
          <t>-0.5σ</t>
        </is>
      </c>
      <c r="H5" s="50" t="n">
        <v>122.8</v>
      </c>
      <c r="I5" s="52" t="n">
        <v>0.739</v>
      </c>
      <c r="J5" s="52" t="n">
        <v>0.739</v>
      </c>
      <c r="K5" s="53" t="n">
        <v>116294.25</v>
      </c>
      <c r="L5" s="53" t="n">
        <v>117084.94</v>
      </c>
      <c r="M5" s="53" t="n">
        <v>116689.6</v>
      </c>
      <c r="N5" s="53" t="n">
        <v>564111.6899999999</v>
      </c>
      <c r="O5" s="53" t="n">
        <v>632169.16</v>
      </c>
    </row>
    <row r="6" ht="15" customHeight="1" s="40">
      <c r="A6" s="50" t="inlineStr">
        <is>
          <t>Janeiro</t>
        </is>
      </c>
      <c r="B6" s="50" t="inlineStr">
        <is>
          <t>2027-02-06</t>
        </is>
      </c>
      <c r="C6" s="51" t="n">
        <v>13.2952</v>
      </c>
      <c r="D6" s="50" t="n">
        <v>137.2</v>
      </c>
      <c r="E6" s="50" t="n">
        <v>28.8</v>
      </c>
      <c r="F6" s="50" t="n">
        <v>23</v>
      </c>
      <c r="G6" s="50" t="inlineStr">
        <is>
          <t>+0.0σ</t>
        </is>
      </c>
      <c r="H6" s="50" t="n">
        <v>137.2</v>
      </c>
      <c r="I6" s="52" t="n">
        <v>0.609</v>
      </c>
      <c r="J6" s="52" t="n">
        <v>0.611</v>
      </c>
      <c r="K6" s="53" t="n">
        <v>82920.52</v>
      </c>
      <c r="L6" s="53" t="n">
        <v>83437.22</v>
      </c>
      <c r="M6" s="53" t="n">
        <v>83178.87</v>
      </c>
      <c r="N6" s="53" t="n">
        <v>443893.54</v>
      </c>
      <c r="O6" s="53" t="n">
        <v>510871.01</v>
      </c>
    </row>
    <row r="7" ht="15" customHeight="1" s="40">
      <c r="A7" s="50" t="inlineStr">
        <is>
          <t>Janeiro</t>
        </is>
      </c>
      <c r="B7" s="50" t="inlineStr">
        <is>
          <t>2027-02-06</t>
        </is>
      </c>
      <c r="C7" s="51" t="n">
        <v>13.2952</v>
      </c>
      <c r="D7" s="50" t="n">
        <v>137.2</v>
      </c>
      <c r="E7" s="50" t="n">
        <v>28.8</v>
      </c>
      <c r="F7" s="50" t="n">
        <v>23</v>
      </c>
      <c r="G7" s="50" t="inlineStr">
        <is>
          <t>+0.5σ</t>
        </is>
      </c>
      <c r="H7" s="50" t="n">
        <v>151.6</v>
      </c>
      <c r="I7" s="52" t="n">
        <v>0.261</v>
      </c>
      <c r="J7" s="52" t="n">
        <v>0.259</v>
      </c>
      <c r="K7" s="53" t="n">
        <v>58757.46</v>
      </c>
      <c r="L7" s="53" t="n">
        <v>58312.15</v>
      </c>
      <c r="M7" s="53" t="n">
        <v>58534.8</v>
      </c>
      <c r="N7" s="53" t="n">
        <v>323675.4</v>
      </c>
      <c r="O7" s="53" t="n">
        <v>389572.85</v>
      </c>
    </row>
    <row r="8" ht="15" customHeight="1" s="40">
      <c r="A8" s="50" t="inlineStr">
        <is>
          <t>Janeiro</t>
        </is>
      </c>
      <c r="B8" s="50" t="inlineStr">
        <is>
          <t>2027-02-06</t>
        </is>
      </c>
      <c r="C8" s="51" t="n">
        <v>13.2952</v>
      </c>
      <c r="D8" s="50" t="n">
        <v>137.2</v>
      </c>
      <c r="E8" s="50" t="n">
        <v>28.8</v>
      </c>
      <c r="F8" s="50" t="n">
        <v>23</v>
      </c>
      <c r="G8" s="50" t="inlineStr">
        <is>
          <t>+1.0σ</t>
        </is>
      </c>
      <c r="H8" s="50" t="n">
        <v>166</v>
      </c>
      <c r="I8" s="52" t="n">
        <v>0.261</v>
      </c>
      <c r="J8" s="52" t="n">
        <v>0.263</v>
      </c>
      <c r="K8" s="53" t="n">
        <v>37954.99</v>
      </c>
      <c r="L8" s="53" t="n">
        <v>38265.47</v>
      </c>
      <c r="M8" s="53" t="n">
        <v>38110.23</v>
      </c>
      <c r="N8" s="53" t="n">
        <v>203457.25</v>
      </c>
      <c r="O8" s="53" t="n">
        <v>268274.7</v>
      </c>
    </row>
    <row r="9" ht="15" customHeight="1" s="40">
      <c r="A9" s="50" t="inlineStr">
        <is>
          <t>Janeiro</t>
        </is>
      </c>
      <c r="B9" s="50" t="inlineStr">
        <is>
          <t>2027-02-06</t>
        </is>
      </c>
      <c r="C9" s="51" t="n">
        <v>13.2952</v>
      </c>
      <c r="D9" s="50" t="n">
        <v>137.2</v>
      </c>
      <c r="E9" s="50" t="n">
        <v>28.8</v>
      </c>
      <c r="F9" s="50" t="n">
        <v>23</v>
      </c>
      <c r="G9" s="50" t="inlineStr">
        <is>
          <t>+1.5σ</t>
        </is>
      </c>
      <c r="H9" s="50" t="n">
        <v>180.4</v>
      </c>
      <c r="I9" s="52" t="n">
        <v>0.217</v>
      </c>
      <c r="J9" s="52" t="n">
        <v>0.215</v>
      </c>
      <c r="K9" s="53" t="n">
        <v>17262.64</v>
      </c>
      <c r="L9" s="53" t="n">
        <v>17149.28</v>
      </c>
      <c r="M9" s="53" t="n">
        <v>17205.96</v>
      </c>
      <c r="N9" s="53" t="n">
        <v>90883.74000000001</v>
      </c>
      <c r="O9" s="53" t="n">
        <v>146976.54</v>
      </c>
    </row>
    <row r="10" ht="15" customHeight="1" s="40">
      <c r="A10" s="54" t="inlineStr">
        <is>
          <t>Fevereiro</t>
        </is>
      </c>
      <c r="B10" s="54" t="inlineStr">
        <is>
          <t>2027-03-06</t>
        </is>
      </c>
      <c r="C10" s="55" t="n">
        <v>13.227</v>
      </c>
      <c r="D10" s="54" t="n">
        <v>125.2</v>
      </c>
      <c r="E10" s="54" t="n">
        <v>24.3</v>
      </c>
      <c r="F10" s="54" t="n">
        <v>23</v>
      </c>
      <c r="G10" s="54" t="inlineStr">
        <is>
          <t>-1.0σ</t>
        </is>
      </c>
      <c r="H10" s="54" t="n">
        <v>100.9</v>
      </c>
      <c r="I10" s="56" t="n">
        <v>0.913</v>
      </c>
      <c r="J10" s="56" t="n">
        <v>0.913</v>
      </c>
      <c r="K10" s="57" t="n">
        <v>165110.24</v>
      </c>
      <c r="L10" s="57" t="n">
        <v>164224.29</v>
      </c>
      <c r="M10" s="57" t="n">
        <v>164667.26</v>
      </c>
      <c r="N10" s="57" t="n">
        <v>268304.58</v>
      </c>
      <c r="O10" s="57" t="n">
        <v>1823572.76</v>
      </c>
    </row>
    <row r="11" ht="15" customHeight="1" s="40">
      <c r="A11" s="54" t="inlineStr">
        <is>
          <t>Fevereiro</t>
        </is>
      </c>
      <c r="B11" s="54" t="inlineStr">
        <is>
          <t>2027-03-06</t>
        </is>
      </c>
      <c r="C11" s="55" t="n">
        <v>13.227</v>
      </c>
      <c r="D11" s="54" t="n">
        <v>125.2</v>
      </c>
      <c r="E11" s="54" t="n">
        <v>24.3</v>
      </c>
      <c r="F11" s="54" t="n">
        <v>23</v>
      </c>
      <c r="G11" s="54" t="inlineStr">
        <is>
          <t>-0.5σ</t>
        </is>
      </c>
      <c r="H11" s="54" t="n">
        <v>113</v>
      </c>
      <c r="I11" s="56" t="n">
        <v>0.826</v>
      </c>
      <c r="J11" s="56" t="n">
        <v>0.826</v>
      </c>
      <c r="K11" s="57" t="n">
        <v>123998.29</v>
      </c>
      <c r="L11" s="57" t="n">
        <v>122247</v>
      </c>
      <c r="M11" s="57" t="n">
        <v>123122.64</v>
      </c>
      <c r="N11" s="57" t="n">
        <v>152244.07</v>
      </c>
      <c r="O11" s="57" t="n">
        <v>1608341.6</v>
      </c>
    </row>
    <row r="12" ht="15" customHeight="1" s="40">
      <c r="A12" s="54" t="inlineStr">
        <is>
          <t>Fevereiro</t>
        </is>
      </c>
      <c r="B12" s="54" t="inlineStr">
        <is>
          <t>2027-03-06</t>
        </is>
      </c>
      <c r="C12" s="55" t="n">
        <v>13.227</v>
      </c>
      <c r="D12" s="54" t="n">
        <v>125.2</v>
      </c>
      <c r="E12" s="54" t="n">
        <v>24.3</v>
      </c>
      <c r="F12" s="54" t="n">
        <v>23</v>
      </c>
      <c r="G12" s="54" t="inlineStr">
        <is>
          <t>+0.0σ</t>
        </is>
      </c>
      <c r="H12" s="54" t="n">
        <v>125.2</v>
      </c>
      <c r="I12" s="56" t="n">
        <v>0.652</v>
      </c>
      <c r="J12" s="56" t="n">
        <v>0.652</v>
      </c>
      <c r="K12" s="57" t="n">
        <v>88589.07000000001</v>
      </c>
      <c r="L12" s="57" t="n">
        <v>87492.07000000001</v>
      </c>
      <c r="M12" s="57" t="n">
        <v>88040.57000000001</v>
      </c>
      <c r="N12" s="57" t="n">
        <v>104659.79</v>
      </c>
      <c r="O12" s="57" t="n">
        <v>1393110.44</v>
      </c>
    </row>
    <row r="13" ht="15" customHeight="1" s="40">
      <c r="A13" s="54" t="inlineStr">
        <is>
          <t>Fevereiro</t>
        </is>
      </c>
      <c r="B13" s="54" t="inlineStr">
        <is>
          <t>2027-03-06</t>
        </is>
      </c>
      <c r="C13" s="55" t="n">
        <v>13.227</v>
      </c>
      <c r="D13" s="54" t="n">
        <v>125.2</v>
      </c>
      <c r="E13" s="54" t="n">
        <v>24.3</v>
      </c>
      <c r="F13" s="54" t="n">
        <v>23</v>
      </c>
      <c r="G13" s="54" t="inlineStr">
        <is>
          <t>+0.5σ</t>
        </is>
      </c>
      <c r="H13" s="54" t="n">
        <v>137.3</v>
      </c>
      <c r="I13" s="56" t="n">
        <v>0.348</v>
      </c>
      <c r="J13" s="56" t="n">
        <v>0.351</v>
      </c>
      <c r="K13" s="57" t="n">
        <v>67482.67</v>
      </c>
      <c r="L13" s="57" t="n">
        <v>67008.28</v>
      </c>
      <c r="M13" s="57" t="n">
        <v>67245.47</v>
      </c>
      <c r="N13" s="57" t="n">
        <v>80134.59</v>
      </c>
      <c r="O13" s="57" t="n">
        <v>1177879.29</v>
      </c>
    </row>
    <row r="14" ht="15" customHeight="1" s="40">
      <c r="A14" s="54" t="inlineStr">
        <is>
          <t>Fevereiro</t>
        </is>
      </c>
      <c r="B14" s="54" t="inlineStr">
        <is>
          <t>2027-03-06</t>
        </is>
      </c>
      <c r="C14" s="55" t="n">
        <v>13.227</v>
      </c>
      <c r="D14" s="54" t="n">
        <v>125.2</v>
      </c>
      <c r="E14" s="54" t="n">
        <v>24.3</v>
      </c>
      <c r="F14" s="54" t="n">
        <v>23</v>
      </c>
      <c r="G14" s="54" t="inlineStr">
        <is>
          <t>+1.0σ</t>
        </is>
      </c>
      <c r="H14" s="54" t="n">
        <v>149.5</v>
      </c>
      <c r="I14" s="56" t="n">
        <v>0.174</v>
      </c>
      <c r="J14" s="56" t="n">
        <v>0.173</v>
      </c>
      <c r="K14" s="57" t="n">
        <v>52718.56</v>
      </c>
      <c r="L14" s="57" t="n">
        <v>50823.9</v>
      </c>
      <c r="M14" s="57" t="n">
        <v>51771.23</v>
      </c>
      <c r="N14" s="57" t="n">
        <v>55609.39</v>
      </c>
      <c r="O14" s="57" t="n">
        <v>962648.13</v>
      </c>
    </row>
    <row r="15" ht="15" customHeight="1" s="40">
      <c r="A15" s="54" t="inlineStr">
        <is>
          <t>Fevereiro</t>
        </is>
      </c>
      <c r="B15" s="54" t="inlineStr">
        <is>
          <t>2027-03-06</t>
        </is>
      </c>
      <c r="C15" s="55" t="n">
        <v>13.227</v>
      </c>
      <c r="D15" s="54" t="n">
        <v>125.2</v>
      </c>
      <c r="E15" s="54" t="n">
        <v>24.3</v>
      </c>
      <c r="F15" s="54" t="n">
        <v>23</v>
      </c>
      <c r="G15" s="54" t="inlineStr">
        <is>
          <t>+1.5σ</t>
        </is>
      </c>
      <c r="H15" s="54" t="n">
        <v>161.7</v>
      </c>
      <c r="I15" s="56" t="n">
        <v>0.13</v>
      </c>
      <c r="J15" s="56" t="n">
        <v>0.13</v>
      </c>
      <c r="K15" s="57" t="n">
        <v>39963.52</v>
      </c>
      <c r="L15" s="57" t="n">
        <v>40951.04</v>
      </c>
      <c r="M15" s="57" t="n">
        <v>40457.28</v>
      </c>
      <c r="N15" s="57" t="n">
        <v>31084.18</v>
      </c>
      <c r="O15" s="57" t="n">
        <v>747416.97</v>
      </c>
    </row>
    <row r="16" ht="15" customHeight="1" s="40">
      <c r="A16" s="50" t="inlineStr">
        <is>
          <t>Março</t>
        </is>
      </c>
      <c r="B16" s="50" t="inlineStr">
        <is>
          <t>2027-04-06</t>
        </is>
      </c>
      <c r="C16" s="51" t="n">
        <v>13.1519</v>
      </c>
      <c r="D16" s="50" t="n">
        <v>115.9</v>
      </c>
      <c r="E16" s="50" t="n">
        <v>27.5</v>
      </c>
      <c r="F16" s="50" t="n">
        <v>23</v>
      </c>
      <c r="G16" s="50" t="inlineStr">
        <is>
          <t>-1.0σ</t>
        </is>
      </c>
      <c r="H16" s="50" t="n">
        <v>88.40000000000001</v>
      </c>
      <c r="I16" s="52" t="n">
        <v>0.957</v>
      </c>
      <c r="J16" s="52" t="n">
        <v>0.957</v>
      </c>
      <c r="K16" s="53" t="n">
        <v>170072.87</v>
      </c>
      <c r="L16" s="53" t="n">
        <v>171639.53</v>
      </c>
      <c r="M16" s="53" t="n">
        <v>170856.2</v>
      </c>
      <c r="N16" s="53" t="n">
        <v>754714.99</v>
      </c>
      <c r="O16" s="53" t="n">
        <v>1098538.75</v>
      </c>
    </row>
    <row r="17" ht="15" customHeight="1" s="40">
      <c r="A17" s="50" t="inlineStr">
        <is>
          <t>Março</t>
        </is>
      </c>
      <c r="B17" s="50" t="inlineStr">
        <is>
          <t>2027-04-06</t>
        </is>
      </c>
      <c r="C17" s="51" t="n">
        <v>13.1519</v>
      </c>
      <c r="D17" s="50" t="n">
        <v>115.9</v>
      </c>
      <c r="E17" s="50" t="n">
        <v>27.5</v>
      </c>
      <c r="F17" s="50" t="n">
        <v>23</v>
      </c>
      <c r="G17" s="50" t="inlineStr">
        <is>
          <t>-0.5σ</t>
        </is>
      </c>
      <c r="H17" s="50" t="n">
        <v>102.1</v>
      </c>
      <c r="I17" s="52" t="n">
        <v>0.826</v>
      </c>
      <c r="J17" s="52" t="n">
        <v>0.825</v>
      </c>
      <c r="K17" s="53" t="n">
        <v>122598.85</v>
      </c>
      <c r="L17" s="53" t="n">
        <v>121133.53</v>
      </c>
      <c r="M17" s="53" t="n">
        <v>121866.19</v>
      </c>
      <c r="N17" s="53" t="n">
        <v>660063.6899999999</v>
      </c>
      <c r="O17" s="53" t="n">
        <v>856613.78</v>
      </c>
    </row>
    <row r="18" ht="15" customHeight="1" s="40">
      <c r="A18" s="50" t="inlineStr">
        <is>
          <t>Março</t>
        </is>
      </c>
      <c r="B18" s="50" t="inlineStr">
        <is>
          <t>2027-04-06</t>
        </is>
      </c>
      <c r="C18" s="51" t="n">
        <v>13.1519</v>
      </c>
      <c r="D18" s="50" t="n">
        <v>115.9</v>
      </c>
      <c r="E18" s="50" t="n">
        <v>27.5</v>
      </c>
      <c r="F18" s="50" t="n">
        <v>23</v>
      </c>
      <c r="G18" s="50" t="inlineStr">
        <is>
          <t>+0.0σ</t>
        </is>
      </c>
      <c r="H18" s="50" t="n">
        <v>115.9</v>
      </c>
      <c r="I18" s="52" t="n">
        <v>0.609</v>
      </c>
      <c r="J18" s="52" t="n">
        <v>0.612</v>
      </c>
      <c r="K18" s="53" t="n">
        <v>83982.14999999999</v>
      </c>
      <c r="L18" s="53" t="n">
        <v>83664.95</v>
      </c>
      <c r="M18" s="53" t="n">
        <v>83823.55</v>
      </c>
      <c r="N18" s="53" t="n">
        <v>565412.38</v>
      </c>
      <c r="O18" s="53" t="n">
        <v>614688.8199999999</v>
      </c>
    </row>
    <row r="19" ht="15" customHeight="1" s="40">
      <c r="A19" s="50" t="inlineStr">
        <is>
          <t>Março</t>
        </is>
      </c>
      <c r="B19" s="50" t="inlineStr">
        <is>
          <t>2027-04-06</t>
        </is>
      </c>
      <c r="C19" s="51" t="n">
        <v>13.1519</v>
      </c>
      <c r="D19" s="50" t="n">
        <v>115.9</v>
      </c>
      <c r="E19" s="50" t="n">
        <v>27.5</v>
      </c>
      <c r="F19" s="50" t="n">
        <v>23</v>
      </c>
      <c r="G19" s="50" t="inlineStr">
        <is>
          <t>+0.5σ</t>
        </is>
      </c>
      <c r="H19" s="50" t="n">
        <v>129.6</v>
      </c>
      <c r="I19" s="52" t="n">
        <v>0.348</v>
      </c>
      <c r="J19" s="52" t="n">
        <v>0.349</v>
      </c>
      <c r="K19" s="53" t="n">
        <v>55952.94</v>
      </c>
      <c r="L19" s="53" t="n">
        <v>56261.67</v>
      </c>
      <c r="M19" s="53" t="n">
        <v>56107.3</v>
      </c>
      <c r="N19" s="53" t="n">
        <v>372763.86</v>
      </c>
      <c r="O19" s="53" t="n">
        <v>470761.07</v>
      </c>
    </row>
    <row r="20" ht="15" customHeight="1" s="40">
      <c r="A20" s="50" t="inlineStr">
        <is>
          <t>Março</t>
        </is>
      </c>
      <c r="B20" s="50" t="inlineStr">
        <is>
          <t>2027-04-06</t>
        </is>
      </c>
      <c r="C20" s="51" t="n">
        <v>13.1519</v>
      </c>
      <c r="D20" s="50" t="n">
        <v>115.9</v>
      </c>
      <c r="E20" s="50" t="n">
        <v>27.5</v>
      </c>
      <c r="F20" s="50" t="n">
        <v>23</v>
      </c>
      <c r="G20" s="50" t="inlineStr">
        <is>
          <t>+1.0σ</t>
        </is>
      </c>
      <c r="H20" s="50" t="n">
        <v>143.3</v>
      </c>
      <c r="I20" s="52" t="n">
        <v>0.217</v>
      </c>
      <c r="J20" s="52" t="n">
        <v>0.215</v>
      </c>
      <c r="K20" s="53" t="n">
        <v>33770.45</v>
      </c>
      <c r="L20" s="53" t="n">
        <v>33375.18</v>
      </c>
      <c r="M20" s="53" t="n">
        <v>33572.82</v>
      </c>
      <c r="N20" s="53" t="n">
        <v>130838.89</v>
      </c>
      <c r="O20" s="53" t="n">
        <v>376109.76</v>
      </c>
    </row>
    <row r="21" ht="15" customHeight="1" s="40">
      <c r="A21" s="50" t="inlineStr">
        <is>
          <t>Março</t>
        </is>
      </c>
      <c r="B21" s="50" t="inlineStr">
        <is>
          <t>2027-04-06</t>
        </is>
      </c>
      <c r="C21" s="51" t="n">
        <v>13.1519</v>
      </c>
      <c r="D21" s="50" t="n">
        <v>115.9</v>
      </c>
      <c r="E21" s="50" t="n">
        <v>27.5</v>
      </c>
      <c r="F21" s="50" t="n">
        <v>23</v>
      </c>
      <c r="G21" s="50" t="inlineStr">
        <is>
          <t>+1.5σ</t>
        </is>
      </c>
      <c r="H21" s="50" t="n">
        <v>157</v>
      </c>
      <c r="I21" s="52" t="n">
        <v>0.174</v>
      </c>
      <c r="J21" s="52" t="n">
        <v>0.177</v>
      </c>
      <c r="K21" s="53" t="n">
        <v>17532.18</v>
      </c>
      <c r="L21" s="53" t="n">
        <v>18227.25</v>
      </c>
      <c r="M21" s="53" t="n">
        <v>17879.72</v>
      </c>
      <c r="N21" s="53" t="n">
        <v>37203.15</v>
      </c>
      <c r="O21" s="53" t="n">
        <v>281458.45</v>
      </c>
    </row>
    <row r="22" ht="15" customHeight="1" s="40">
      <c r="A22" s="54" t="inlineStr">
        <is>
          <t>Abril</t>
        </is>
      </c>
      <c r="B22" s="54" t="inlineStr">
        <is>
          <t>2027-05-06</t>
        </is>
      </c>
      <c r="C22" s="55" t="n">
        <v>13.0939</v>
      </c>
      <c r="D22" s="54" t="n">
        <v>69</v>
      </c>
      <c r="E22" s="54" t="n">
        <v>27.6</v>
      </c>
      <c r="F22" s="54" t="n">
        <v>23</v>
      </c>
      <c r="G22" s="54" t="inlineStr">
        <is>
          <t>-1.0σ</t>
        </is>
      </c>
      <c r="H22" s="54" t="n">
        <v>41.4</v>
      </c>
      <c r="I22" s="56" t="n">
        <v>0.913</v>
      </c>
      <c r="J22" s="56" t="n">
        <v>0.915</v>
      </c>
      <c r="K22" s="57" t="n">
        <v>131502.61</v>
      </c>
      <c r="L22" s="57" t="n">
        <v>131598.97</v>
      </c>
      <c r="M22" s="57" t="n">
        <v>131550.79</v>
      </c>
      <c r="N22" s="57" t="n">
        <v>263399.59</v>
      </c>
      <c r="O22" s="57" t="n">
        <v>966543.41</v>
      </c>
    </row>
    <row r="23" ht="15" customHeight="1" s="40">
      <c r="A23" s="54" t="inlineStr">
        <is>
          <t>Abril</t>
        </is>
      </c>
      <c r="B23" s="54" t="inlineStr">
        <is>
          <t>2027-05-06</t>
        </is>
      </c>
      <c r="C23" s="55" t="n">
        <v>13.0939</v>
      </c>
      <c r="D23" s="54" t="n">
        <v>69</v>
      </c>
      <c r="E23" s="54" t="n">
        <v>27.6</v>
      </c>
      <c r="F23" s="54" t="n">
        <v>23</v>
      </c>
      <c r="G23" s="54" t="inlineStr">
        <is>
          <t>-0.5σ</t>
        </is>
      </c>
      <c r="H23" s="54" t="n">
        <v>55.2</v>
      </c>
      <c r="I23" s="56" t="n">
        <v>0.739</v>
      </c>
      <c r="J23" s="56" t="n">
        <v>0.737</v>
      </c>
      <c r="K23" s="57" t="n">
        <v>91072.45</v>
      </c>
      <c r="L23" s="57" t="n">
        <v>89659.27</v>
      </c>
      <c r="M23" s="57" t="n">
        <v>90365.86</v>
      </c>
      <c r="N23" s="57" t="n">
        <v>179697.37</v>
      </c>
      <c r="O23" s="57" t="n">
        <v>726282.8100000001</v>
      </c>
    </row>
    <row r="24" ht="15" customHeight="1" s="40">
      <c r="A24" s="54" t="inlineStr">
        <is>
          <t>Abril</t>
        </is>
      </c>
      <c r="B24" s="54" t="inlineStr">
        <is>
          <t>2027-05-06</t>
        </is>
      </c>
      <c r="C24" s="55" t="n">
        <v>13.0939</v>
      </c>
      <c r="D24" s="54" t="n">
        <v>69</v>
      </c>
      <c r="E24" s="54" t="n">
        <v>27.6</v>
      </c>
      <c r="F24" s="54" t="n">
        <v>23</v>
      </c>
      <c r="G24" s="54" t="inlineStr">
        <is>
          <t>+0.0σ</t>
        </is>
      </c>
      <c r="H24" s="54" t="n">
        <v>69</v>
      </c>
      <c r="I24" s="56" t="n">
        <v>0.522</v>
      </c>
      <c r="J24" s="56" t="n">
        <v>0.524</v>
      </c>
      <c r="K24" s="57" t="n">
        <v>57244.15</v>
      </c>
      <c r="L24" s="57" t="n">
        <v>57536.29</v>
      </c>
      <c r="M24" s="57" t="n">
        <v>57390.22</v>
      </c>
      <c r="N24" s="57" t="n">
        <v>125239.21</v>
      </c>
      <c r="O24" s="57" t="n">
        <v>486022.22</v>
      </c>
    </row>
    <row r="25" ht="15" customHeight="1" s="40">
      <c r="A25" s="54" t="inlineStr">
        <is>
          <t>Abril</t>
        </is>
      </c>
      <c r="B25" s="54" t="inlineStr">
        <is>
          <t>2027-05-06</t>
        </is>
      </c>
      <c r="C25" s="55" t="n">
        <v>13.0939</v>
      </c>
      <c r="D25" s="54" t="n">
        <v>69</v>
      </c>
      <c r="E25" s="54" t="n">
        <v>27.6</v>
      </c>
      <c r="F25" s="54" t="n">
        <v>23</v>
      </c>
      <c r="G25" s="54" t="inlineStr">
        <is>
          <t>+0.5σ</t>
        </is>
      </c>
      <c r="H25" s="54" t="n">
        <v>82.8</v>
      </c>
      <c r="I25" s="56" t="n">
        <v>0.391</v>
      </c>
      <c r="J25" s="56" t="n">
        <v>0.391</v>
      </c>
      <c r="K25" s="57" t="n">
        <v>30305.09</v>
      </c>
      <c r="L25" s="57" t="n">
        <v>30509.08</v>
      </c>
      <c r="M25" s="57" t="n">
        <v>30407.09</v>
      </c>
      <c r="N25" s="57" t="n">
        <v>102444.46</v>
      </c>
      <c r="O25" s="57" t="n">
        <v>245761.63</v>
      </c>
    </row>
    <row r="26" ht="15" customHeight="1" s="40">
      <c r="A26" s="54" t="inlineStr">
        <is>
          <t>Abril</t>
        </is>
      </c>
      <c r="B26" s="54" t="inlineStr">
        <is>
          <t>2027-05-06</t>
        </is>
      </c>
      <c r="C26" s="55" t="n">
        <v>13.0939</v>
      </c>
      <c r="D26" s="54" t="n">
        <v>69</v>
      </c>
      <c r="E26" s="54" t="n">
        <v>27.6</v>
      </c>
      <c r="F26" s="54" t="n">
        <v>23</v>
      </c>
      <c r="G26" s="54" t="inlineStr">
        <is>
          <t>+1.0σ</t>
        </is>
      </c>
      <c r="H26" s="54" t="n">
        <v>96.5</v>
      </c>
      <c r="I26" s="56" t="n">
        <v>0.261</v>
      </c>
      <c r="J26" s="56" t="n">
        <v>0.263</v>
      </c>
      <c r="K26" s="57" t="n">
        <v>6950.72</v>
      </c>
      <c r="L26" s="57" t="n">
        <v>6949.4</v>
      </c>
      <c r="M26" s="57" t="n">
        <v>6950.06</v>
      </c>
      <c r="N26" s="57" t="n">
        <v>28785.13</v>
      </c>
      <c r="O26" s="57" t="n">
        <v>84612.45</v>
      </c>
    </row>
    <row r="27" ht="15" customHeight="1" s="40">
      <c r="A27" s="54" t="inlineStr">
        <is>
          <t>Abril</t>
        </is>
      </c>
      <c r="B27" s="54" t="inlineStr">
        <is>
          <t>2027-05-06</t>
        </is>
      </c>
      <c r="C27" s="55" t="n">
        <v>13.0939</v>
      </c>
      <c r="D27" s="54" t="n">
        <v>69</v>
      </c>
      <c r="E27" s="54" t="n">
        <v>27.6</v>
      </c>
      <c r="F27" s="54" t="n">
        <v>23</v>
      </c>
      <c r="G27" s="54" t="inlineStr">
        <is>
          <t>+1.5σ</t>
        </is>
      </c>
      <c r="H27" s="54" t="n">
        <v>110.3</v>
      </c>
      <c r="I27" s="56" t="n">
        <v>0.08699999999999999</v>
      </c>
      <c r="J27" s="56" t="n">
        <v>0.08599999999999999</v>
      </c>
      <c r="K27" s="57" t="n">
        <v>3862.13</v>
      </c>
      <c r="L27" s="57" t="n">
        <v>3771.03</v>
      </c>
      <c r="M27" s="57" t="n">
        <v>3816.58</v>
      </c>
      <c r="N27" s="57" t="n">
        <v>12442.28</v>
      </c>
      <c r="O27" s="57" t="n">
        <v>66780.44</v>
      </c>
    </row>
    <row r="28" ht="15" customHeight="1" s="40">
      <c r="A28" s="50" t="inlineStr">
        <is>
          <t>Maio</t>
        </is>
      </c>
      <c r="B28" s="50" t="inlineStr">
        <is>
          <t>2027-06-06</t>
        </is>
      </c>
      <c r="C28" s="51" t="n">
        <v>13.0499</v>
      </c>
      <c r="D28" s="50" t="n">
        <v>21.8</v>
      </c>
      <c r="E28" s="50" t="n">
        <v>21.7</v>
      </c>
      <c r="F28" s="50" t="n">
        <v>23</v>
      </c>
      <c r="G28" s="50" t="inlineStr">
        <is>
          <t>-1.0σ</t>
        </is>
      </c>
      <c r="H28" s="50" t="n">
        <v>0</v>
      </c>
      <c r="I28" s="52" t="n">
        <v>1</v>
      </c>
      <c r="J28" s="52" t="n">
        <v>1</v>
      </c>
      <c r="K28" s="53" t="n">
        <v>111085.62</v>
      </c>
      <c r="L28" s="53" t="n">
        <v>111572.96</v>
      </c>
      <c r="M28" s="53" t="n">
        <v>111329.29</v>
      </c>
      <c r="N28" s="53" t="n">
        <v>370727.33</v>
      </c>
      <c r="O28" s="53" t="n">
        <v>631362.33</v>
      </c>
    </row>
    <row r="29" ht="15" customHeight="1" s="40">
      <c r="A29" s="50" t="inlineStr">
        <is>
          <t>Maio</t>
        </is>
      </c>
      <c r="B29" s="50" t="inlineStr">
        <is>
          <t>2027-06-06</t>
        </is>
      </c>
      <c r="C29" s="51" t="n">
        <v>13.0499</v>
      </c>
      <c r="D29" s="50" t="n">
        <v>21.8</v>
      </c>
      <c r="E29" s="50" t="n">
        <v>21.7</v>
      </c>
      <c r="F29" s="50" t="n">
        <v>23</v>
      </c>
      <c r="G29" s="50" t="inlineStr">
        <is>
          <t>-0.5σ</t>
        </is>
      </c>
      <c r="H29" s="50" t="n">
        <v>10.9</v>
      </c>
      <c r="I29" s="52" t="n">
        <v>0.739</v>
      </c>
      <c r="J29" s="52" t="n">
        <v>0.738</v>
      </c>
      <c r="K29" s="53" t="n">
        <v>77902.87</v>
      </c>
      <c r="L29" s="53" t="n">
        <v>77348.62</v>
      </c>
      <c r="M29" s="53" t="n">
        <v>77625.75</v>
      </c>
      <c r="N29" s="53" t="n">
        <v>303416.13</v>
      </c>
      <c r="O29" s="53" t="n">
        <v>481294.52</v>
      </c>
    </row>
    <row r="30" ht="15" customHeight="1" s="40">
      <c r="A30" s="50" t="inlineStr">
        <is>
          <t>Maio</t>
        </is>
      </c>
      <c r="B30" s="50" t="inlineStr">
        <is>
          <t>2027-06-06</t>
        </is>
      </c>
      <c r="C30" s="51" t="n">
        <v>13.0499</v>
      </c>
      <c r="D30" s="50" t="n">
        <v>21.8</v>
      </c>
      <c r="E30" s="50" t="n">
        <v>21.7</v>
      </c>
      <c r="F30" s="50" t="n">
        <v>23</v>
      </c>
      <c r="G30" s="50" t="inlineStr">
        <is>
          <t>+0.0σ</t>
        </is>
      </c>
      <c r="H30" s="50" t="n">
        <v>21.8</v>
      </c>
      <c r="I30" s="52" t="n">
        <v>0.304</v>
      </c>
      <c r="J30" s="52" t="n">
        <v>0.307</v>
      </c>
      <c r="K30" s="53" t="n">
        <v>47139.12</v>
      </c>
      <c r="L30" s="53" t="n">
        <v>48266.16</v>
      </c>
      <c r="M30" s="53" t="n">
        <v>47702.64</v>
      </c>
      <c r="N30" s="53" t="n">
        <v>226061.25</v>
      </c>
      <c r="O30" s="53" t="n">
        <v>308834.73</v>
      </c>
    </row>
    <row r="31" ht="15" customHeight="1" s="40">
      <c r="A31" s="50" t="inlineStr">
        <is>
          <t>Maio</t>
        </is>
      </c>
      <c r="B31" s="50" t="inlineStr">
        <is>
          <t>2027-06-06</t>
        </is>
      </c>
      <c r="C31" s="51" t="n">
        <v>13.0499</v>
      </c>
      <c r="D31" s="50" t="n">
        <v>21.8</v>
      </c>
      <c r="E31" s="50" t="n">
        <v>21.7</v>
      </c>
      <c r="F31" s="50" t="n">
        <v>23</v>
      </c>
      <c r="G31" s="50" t="inlineStr">
        <is>
          <t>+0.5σ</t>
        </is>
      </c>
      <c r="H31" s="50" t="n">
        <v>32.6</v>
      </c>
      <c r="I31" s="52" t="n">
        <v>0.217</v>
      </c>
      <c r="J31" s="52" t="n">
        <v>0.216</v>
      </c>
      <c r="K31" s="53" t="n">
        <v>29285.6</v>
      </c>
      <c r="L31" s="53" t="n">
        <v>29176.46</v>
      </c>
      <c r="M31" s="53" t="n">
        <v>29231.03</v>
      </c>
      <c r="N31" s="53" t="n">
        <v>147030.84</v>
      </c>
      <c r="O31" s="53" t="n">
        <v>148706.38</v>
      </c>
    </row>
    <row r="32" ht="15" customHeight="1" s="40">
      <c r="A32" s="50" t="inlineStr">
        <is>
          <t>Maio</t>
        </is>
      </c>
      <c r="B32" s="50" t="inlineStr">
        <is>
          <t>2027-06-06</t>
        </is>
      </c>
      <c r="C32" s="51" t="n">
        <v>13.0499</v>
      </c>
      <c r="D32" s="50" t="n">
        <v>21.8</v>
      </c>
      <c r="E32" s="50" t="n">
        <v>21.7</v>
      </c>
      <c r="F32" s="50" t="n">
        <v>23</v>
      </c>
      <c r="G32" s="50" t="inlineStr">
        <is>
          <t>+1.0σ</t>
        </is>
      </c>
      <c r="H32" s="50" t="n">
        <v>43.5</v>
      </c>
      <c r="I32" s="52" t="n">
        <v>0.174</v>
      </c>
      <c r="J32" s="52" t="n">
        <v>0.176</v>
      </c>
      <c r="K32" s="53" t="n">
        <v>14366.23</v>
      </c>
      <c r="L32" s="53" t="n">
        <v>14490.78</v>
      </c>
      <c r="M32" s="53" t="n">
        <v>14428.5</v>
      </c>
      <c r="N32" s="53" t="n">
        <v>95608.42</v>
      </c>
      <c r="O32" s="53" t="n">
        <v>107544.13</v>
      </c>
    </row>
    <row r="33" ht="15" customHeight="1" s="40">
      <c r="A33" s="50" t="inlineStr">
        <is>
          <t>Maio</t>
        </is>
      </c>
      <c r="B33" s="50" t="inlineStr">
        <is>
          <t>2027-06-06</t>
        </is>
      </c>
      <c r="C33" s="51" t="n">
        <v>13.0499</v>
      </c>
      <c r="D33" s="50" t="n">
        <v>21.8</v>
      </c>
      <c r="E33" s="50" t="n">
        <v>21.7</v>
      </c>
      <c r="F33" s="50" t="n">
        <v>23</v>
      </c>
      <c r="G33" s="50" t="inlineStr">
        <is>
          <t>+1.5σ</t>
        </is>
      </c>
      <c r="H33" s="50" t="n">
        <v>54.4</v>
      </c>
      <c r="I33" s="52" t="n">
        <v>0.08699999999999999</v>
      </c>
      <c r="J33" s="52" t="n">
        <v>0.08500000000000001</v>
      </c>
      <c r="K33" s="53" t="n">
        <v>6660.19</v>
      </c>
      <c r="L33" s="53" t="n">
        <v>6495.65</v>
      </c>
      <c r="M33" s="53" t="n">
        <v>6577.92</v>
      </c>
      <c r="N33" s="53" t="n">
        <v>44185.99</v>
      </c>
      <c r="O33" s="53" t="n">
        <v>93806.5</v>
      </c>
    </row>
    <row r="34" ht="15" customHeight="1" s="40">
      <c r="A34" s="54" t="inlineStr">
        <is>
          <t>Junho</t>
        </is>
      </c>
      <c r="B34" s="54" t="inlineStr">
        <is>
          <t>2027-07-06</t>
        </is>
      </c>
      <c r="C34" s="55" t="n">
        <v>13.0037</v>
      </c>
      <c r="D34" s="54" t="n">
        <v>8</v>
      </c>
      <c r="E34" s="54" t="n">
        <v>10.7</v>
      </c>
      <c r="F34" s="54" t="n">
        <v>23</v>
      </c>
      <c r="G34" s="54" t="inlineStr">
        <is>
          <t>-1.0σ</t>
        </is>
      </c>
      <c r="H34" s="54" t="n">
        <v>0</v>
      </c>
      <c r="I34" s="56" t="n">
        <v>0.957</v>
      </c>
      <c r="J34" s="56" t="n">
        <v>0.957</v>
      </c>
      <c r="K34" s="57" t="n">
        <v>50592.79</v>
      </c>
      <c r="L34" s="57" t="n">
        <v>50254.08</v>
      </c>
      <c r="M34" s="57" t="n">
        <v>50423.44</v>
      </c>
      <c r="N34" s="57" t="n">
        <v>180244.15</v>
      </c>
      <c r="O34" s="57" t="n">
        <v>349655.33</v>
      </c>
    </row>
    <row r="35" ht="15" customHeight="1" s="40">
      <c r="A35" s="54" t="inlineStr">
        <is>
          <t>Junho</t>
        </is>
      </c>
      <c r="B35" s="54" t="inlineStr">
        <is>
          <t>2027-07-06</t>
        </is>
      </c>
      <c r="C35" s="55" t="n">
        <v>13.0037</v>
      </c>
      <c r="D35" s="54" t="n">
        <v>8</v>
      </c>
      <c r="E35" s="54" t="n">
        <v>10.7</v>
      </c>
      <c r="F35" s="54" t="n">
        <v>23</v>
      </c>
      <c r="G35" s="54" t="inlineStr">
        <is>
          <t>-0.5σ</t>
        </is>
      </c>
      <c r="H35" s="54" t="n">
        <v>2.7</v>
      </c>
      <c r="I35" s="56" t="n">
        <v>0.609</v>
      </c>
      <c r="J35" s="56" t="n">
        <v>0.607</v>
      </c>
      <c r="K35" s="57" t="n">
        <v>44508.15</v>
      </c>
      <c r="L35" s="57" t="n">
        <v>44705.75</v>
      </c>
      <c r="M35" s="57" t="n">
        <v>44606.95</v>
      </c>
      <c r="N35" s="57" t="n">
        <v>163867.48</v>
      </c>
      <c r="O35" s="57" t="n">
        <v>328510.39</v>
      </c>
    </row>
    <row r="36" ht="15" customHeight="1" s="40">
      <c r="A36" s="54" t="inlineStr">
        <is>
          <t>Junho</t>
        </is>
      </c>
      <c r="B36" s="54" t="inlineStr">
        <is>
          <t>2027-07-06</t>
        </is>
      </c>
      <c r="C36" s="55" t="n">
        <v>13.0037</v>
      </c>
      <c r="D36" s="54" t="n">
        <v>8</v>
      </c>
      <c r="E36" s="54" t="n">
        <v>10.7</v>
      </c>
      <c r="F36" s="54" t="n">
        <v>23</v>
      </c>
      <c r="G36" s="54" t="inlineStr">
        <is>
          <t>+0.0σ</t>
        </is>
      </c>
      <c r="H36" s="54" t="n">
        <v>8</v>
      </c>
      <c r="I36" s="56" t="n">
        <v>0.478</v>
      </c>
      <c r="J36" s="56" t="n">
        <v>0.48</v>
      </c>
      <c r="K36" s="57" t="n">
        <v>32573.27</v>
      </c>
      <c r="L36" s="57" t="n">
        <v>32920.16</v>
      </c>
      <c r="M36" s="57" t="n">
        <v>32746.72</v>
      </c>
      <c r="N36" s="57" t="n">
        <v>125305.23</v>
      </c>
      <c r="O36" s="57" t="n">
        <v>278720.26</v>
      </c>
    </row>
    <row r="37" ht="15" customHeight="1" s="40">
      <c r="A37" s="54" t="inlineStr">
        <is>
          <t>Junho</t>
        </is>
      </c>
      <c r="B37" s="54" t="inlineStr">
        <is>
          <t>2027-07-06</t>
        </is>
      </c>
      <c r="C37" s="55" t="n">
        <v>13.0037</v>
      </c>
      <c r="D37" s="54" t="n">
        <v>8</v>
      </c>
      <c r="E37" s="54" t="n">
        <v>10.7</v>
      </c>
      <c r="F37" s="54" t="n">
        <v>23</v>
      </c>
      <c r="G37" s="54" t="inlineStr">
        <is>
          <t>+0.5σ</t>
        </is>
      </c>
      <c r="H37" s="54" t="n">
        <v>13.4</v>
      </c>
      <c r="I37" s="56" t="n">
        <v>0.348</v>
      </c>
      <c r="J37" s="56" t="n">
        <v>0.35</v>
      </c>
      <c r="K37" s="57" t="n">
        <v>22903.2</v>
      </c>
      <c r="L37" s="57" t="n">
        <v>23060.49</v>
      </c>
      <c r="M37" s="57" t="n">
        <v>22981.84</v>
      </c>
      <c r="N37" s="57" t="n">
        <v>86742.98</v>
      </c>
      <c r="O37" s="57" t="n">
        <v>228930.14</v>
      </c>
    </row>
    <row r="38" ht="15" customHeight="1" s="40">
      <c r="A38" s="54" t="inlineStr">
        <is>
          <t>Junho</t>
        </is>
      </c>
      <c r="B38" s="54" t="inlineStr">
        <is>
          <t>2027-07-06</t>
        </is>
      </c>
      <c r="C38" s="55" t="n">
        <v>13.0037</v>
      </c>
      <c r="D38" s="54" t="n">
        <v>8</v>
      </c>
      <c r="E38" s="54" t="n">
        <v>10.7</v>
      </c>
      <c r="F38" s="54" t="n">
        <v>23</v>
      </c>
      <c r="G38" s="54" t="inlineStr">
        <is>
          <t>+1.0σ</t>
        </is>
      </c>
      <c r="H38" s="54" t="n">
        <v>18.7</v>
      </c>
      <c r="I38" s="56" t="n">
        <v>0.217</v>
      </c>
      <c r="J38" s="56" t="n">
        <v>0.218</v>
      </c>
      <c r="K38" s="57" t="n">
        <v>14720.61</v>
      </c>
      <c r="L38" s="57" t="n">
        <v>14930.09</v>
      </c>
      <c r="M38" s="57" t="n">
        <v>14825.35</v>
      </c>
      <c r="N38" s="57" t="n">
        <v>48180.73</v>
      </c>
      <c r="O38" s="57" t="n">
        <v>179140.01</v>
      </c>
    </row>
    <row r="39" ht="15" customHeight="1" s="40">
      <c r="A39" s="54" t="inlineStr">
        <is>
          <t>Junho</t>
        </is>
      </c>
      <c r="B39" s="54" t="inlineStr">
        <is>
          <t>2027-07-06</t>
        </is>
      </c>
      <c r="C39" s="55" t="n">
        <v>13.0037</v>
      </c>
      <c r="D39" s="54" t="n">
        <v>8</v>
      </c>
      <c r="E39" s="54" t="n">
        <v>10.7</v>
      </c>
      <c r="F39" s="54" t="n">
        <v>23</v>
      </c>
      <c r="G39" s="54" t="inlineStr">
        <is>
          <t>+1.5σ</t>
        </is>
      </c>
      <c r="H39" s="54" t="n">
        <v>24</v>
      </c>
      <c r="I39" s="56" t="n">
        <v>0.13</v>
      </c>
      <c r="J39" s="56" t="n">
        <v>0.129</v>
      </c>
      <c r="K39" s="57" t="n">
        <v>8459.950000000001</v>
      </c>
      <c r="L39" s="57" t="n">
        <v>8516</v>
      </c>
      <c r="M39" s="57" t="n">
        <v>8487.969999999999</v>
      </c>
      <c r="N39" s="57" t="n">
        <v>38148.18</v>
      </c>
      <c r="O39" s="57" t="n">
        <v>129349.88</v>
      </c>
    </row>
    <row r="40" ht="15" customHeight="1" s="40">
      <c r="A40" s="50" t="inlineStr">
        <is>
          <t>Julho</t>
        </is>
      </c>
      <c r="B40" s="50" t="inlineStr">
        <is>
          <t>2027-08-06</t>
        </is>
      </c>
      <c r="C40" s="51" t="n">
        <v>12.9555</v>
      </c>
      <c r="D40" s="50" t="n">
        <v>7.2</v>
      </c>
      <c r="E40" s="50" t="n">
        <v>9.9</v>
      </c>
      <c r="F40" s="50" t="n">
        <v>23</v>
      </c>
      <c r="G40" s="50" t="inlineStr">
        <is>
          <t>-1.0σ</t>
        </is>
      </c>
      <c r="H40" s="50" t="n">
        <v>0</v>
      </c>
      <c r="I40" s="52" t="n">
        <v>0.957</v>
      </c>
      <c r="J40" s="52" t="n">
        <v>0.957</v>
      </c>
      <c r="K40" s="53" t="n">
        <v>49813.54</v>
      </c>
      <c r="L40" s="53" t="n">
        <v>49080.41</v>
      </c>
      <c r="M40" s="53" t="n">
        <v>49446.98</v>
      </c>
      <c r="N40" s="53" t="n">
        <v>176653.37</v>
      </c>
      <c r="O40" s="53" t="n">
        <v>523363.48</v>
      </c>
    </row>
    <row r="41" ht="15" customHeight="1" s="40">
      <c r="A41" s="50" t="inlineStr">
        <is>
          <t>Julho</t>
        </is>
      </c>
      <c r="B41" s="50" t="inlineStr">
        <is>
          <t>2027-08-06</t>
        </is>
      </c>
      <c r="C41" s="51" t="n">
        <v>12.9555</v>
      </c>
      <c r="D41" s="50" t="n">
        <v>7.2</v>
      </c>
      <c r="E41" s="50" t="n">
        <v>9.9</v>
      </c>
      <c r="F41" s="50" t="n">
        <v>23</v>
      </c>
      <c r="G41" s="50" t="inlineStr">
        <is>
          <t>-0.5σ</t>
        </is>
      </c>
      <c r="H41" s="50" t="n">
        <v>2.2</v>
      </c>
      <c r="I41" s="52" t="n">
        <v>0.87</v>
      </c>
      <c r="J41" s="52" t="n">
        <v>0.869</v>
      </c>
      <c r="K41" s="53" t="n">
        <v>44608.73</v>
      </c>
      <c r="L41" s="53" t="n">
        <v>44266.04</v>
      </c>
      <c r="M41" s="53" t="n">
        <v>44437.39</v>
      </c>
      <c r="N41" s="53" t="n">
        <v>156054.26</v>
      </c>
      <c r="O41" s="53" t="n">
        <v>506668.72</v>
      </c>
    </row>
    <row r="42" ht="15" customHeight="1" s="40">
      <c r="A42" s="50" t="inlineStr">
        <is>
          <t>Julho</t>
        </is>
      </c>
      <c r="B42" s="50" t="inlineStr">
        <is>
          <t>2027-08-06</t>
        </is>
      </c>
      <c r="C42" s="51" t="n">
        <v>12.9555</v>
      </c>
      <c r="D42" s="50" t="n">
        <v>7.2</v>
      </c>
      <c r="E42" s="50" t="n">
        <v>9.9</v>
      </c>
      <c r="F42" s="50" t="n">
        <v>23</v>
      </c>
      <c r="G42" s="50" t="inlineStr">
        <is>
          <t>+0.0σ</t>
        </is>
      </c>
      <c r="H42" s="50" t="n">
        <v>7.2</v>
      </c>
      <c r="I42" s="52" t="n">
        <v>0.478</v>
      </c>
      <c r="J42" s="52" t="n">
        <v>0.478</v>
      </c>
      <c r="K42" s="53" t="n">
        <v>32216.44</v>
      </c>
      <c r="L42" s="53" t="n">
        <v>31637.3</v>
      </c>
      <c r="M42" s="53" t="n">
        <v>31926.87</v>
      </c>
      <c r="N42" s="53" t="n">
        <v>95240.89</v>
      </c>
      <c r="O42" s="53" t="n">
        <v>457381.92</v>
      </c>
    </row>
    <row r="43" ht="15" customHeight="1" s="40">
      <c r="A43" s="50" t="inlineStr">
        <is>
          <t>Julho</t>
        </is>
      </c>
      <c r="B43" s="50" t="inlineStr">
        <is>
          <t>2027-08-06</t>
        </is>
      </c>
      <c r="C43" s="51" t="n">
        <v>12.9555</v>
      </c>
      <c r="D43" s="50" t="n">
        <v>7.2</v>
      </c>
      <c r="E43" s="50" t="n">
        <v>9.9</v>
      </c>
      <c r="F43" s="50" t="n">
        <v>23</v>
      </c>
      <c r="G43" s="50" t="inlineStr">
        <is>
          <t>+0.5σ</t>
        </is>
      </c>
      <c r="H43" s="50" t="n">
        <v>12.2</v>
      </c>
      <c r="I43" s="52" t="n">
        <v>0.217</v>
      </c>
      <c r="J43" s="52" t="n">
        <v>0.217</v>
      </c>
      <c r="K43" s="53" t="n">
        <v>24011.93</v>
      </c>
      <c r="L43" s="53" t="n">
        <v>23904.87</v>
      </c>
      <c r="M43" s="53" t="n">
        <v>23958.4</v>
      </c>
      <c r="N43" s="53" t="n">
        <v>40108.54</v>
      </c>
      <c r="O43" s="53" t="n">
        <v>408095.11</v>
      </c>
    </row>
    <row r="44" ht="15" customHeight="1" s="40">
      <c r="A44" s="50" t="inlineStr">
        <is>
          <t>Julho</t>
        </is>
      </c>
      <c r="B44" s="50" t="inlineStr">
        <is>
          <t>2027-08-06</t>
        </is>
      </c>
      <c r="C44" s="51" t="n">
        <v>12.9555</v>
      </c>
      <c r="D44" s="50" t="n">
        <v>7.2</v>
      </c>
      <c r="E44" s="50" t="n">
        <v>9.9</v>
      </c>
      <c r="F44" s="50" t="n">
        <v>23</v>
      </c>
      <c r="G44" s="50" t="inlineStr">
        <is>
          <t>+1.0σ</t>
        </is>
      </c>
      <c r="H44" s="50" t="n">
        <v>17.1</v>
      </c>
      <c r="I44" s="52" t="n">
        <v>0.13</v>
      </c>
      <c r="J44" s="52" t="n">
        <v>0.131</v>
      </c>
      <c r="K44" s="53" t="n">
        <v>18837.05</v>
      </c>
      <c r="L44" s="53" t="n">
        <v>18647.75</v>
      </c>
      <c r="M44" s="53" t="n">
        <v>18742.4</v>
      </c>
      <c r="N44" s="53" t="n">
        <v>32942.36</v>
      </c>
      <c r="O44" s="53" t="n">
        <v>358808.31</v>
      </c>
    </row>
    <row r="45" ht="15" customHeight="1" s="40">
      <c r="A45" s="50" t="inlineStr">
        <is>
          <t>Julho</t>
        </is>
      </c>
      <c r="B45" s="50" t="inlineStr">
        <is>
          <t>2027-08-06</t>
        </is>
      </c>
      <c r="C45" s="51" t="n">
        <v>12.9555</v>
      </c>
      <c r="D45" s="50" t="n">
        <v>7.2</v>
      </c>
      <c r="E45" s="50" t="n">
        <v>9.9</v>
      </c>
      <c r="F45" s="50" t="n">
        <v>23</v>
      </c>
      <c r="G45" s="50" t="inlineStr">
        <is>
          <t>+1.5σ</t>
        </is>
      </c>
      <c r="H45" s="50" t="n">
        <v>22.1</v>
      </c>
      <c r="I45" s="52" t="n">
        <v>0.08699999999999999</v>
      </c>
      <c r="J45" s="52" t="n">
        <v>0.08799999999999999</v>
      </c>
      <c r="K45" s="53" t="n">
        <v>15843.25</v>
      </c>
      <c r="L45" s="53" t="n">
        <v>15786.68</v>
      </c>
      <c r="M45" s="53" t="n">
        <v>15814.97</v>
      </c>
      <c r="N45" s="53" t="n">
        <v>25776.17</v>
      </c>
      <c r="O45" s="53" t="n">
        <v>309521.51</v>
      </c>
    </row>
    <row r="46" ht="15" customHeight="1" s="40">
      <c r="A46" s="54" t="inlineStr">
        <is>
          <t>Agosto</t>
        </is>
      </c>
      <c r="B46" s="54" t="inlineStr">
        <is>
          <t>2027-09-06</t>
        </is>
      </c>
      <c r="C46" s="55" t="n">
        <v>12.9114</v>
      </c>
      <c r="D46" s="54" t="n">
        <v>27.4</v>
      </c>
      <c r="E46" s="54" t="n">
        <v>18</v>
      </c>
      <c r="F46" s="54" t="n">
        <v>23</v>
      </c>
      <c r="G46" s="54" t="inlineStr">
        <is>
          <t>-1.0σ</t>
        </is>
      </c>
      <c r="H46" s="54" t="n">
        <v>9.4</v>
      </c>
      <c r="I46" s="56" t="n">
        <v>1</v>
      </c>
      <c r="J46" s="56" t="n">
        <v>1</v>
      </c>
      <c r="K46" s="57" t="n">
        <v>110756.01</v>
      </c>
      <c r="L46" s="57" t="n">
        <v>111316.9</v>
      </c>
      <c r="M46" s="57" t="n">
        <v>111036.45</v>
      </c>
      <c r="N46" s="57" t="n">
        <v>416743.87</v>
      </c>
      <c r="O46" s="57" t="n">
        <v>595523.27</v>
      </c>
    </row>
    <row r="47" ht="15" customHeight="1" s="40">
      <c r="A47" s="54" t="inlineStr">
        <is>
          <t>Agosto</t>
        </is>
      </c>
      <c r="B47" s="54" t="inlineStr">
        <is>
          <t>2027-09-06</t>
        </is>
      </c>
      <c r="C47" s="55" t="n">
        <v>12.9114</v>
      </c>
      <c r="D47" s="54" t="n">
        <v>27.4</v>
      </c>
      <c r="E47" s="54" t="n">
        <v>18</v>
      </c>
      <c r="F47" s="54" t="n">
        <v>23</v>
      </c>
      <c r="G47" s="54" t="inlineStr">
        <is>
          <t>-0.5σ</t>
        </is>
      </c>
      <c r="H47" s="54" t="n">
        <v>18.4</v>
      </c>
      <c r="I47" s="56" t="n">
        <v>0.696</v>
      </c>
      <c r="J47" s="56" t="n">
        <v>0.697</v>
      </c>
      <c r="K47" s="57" t="n">
        <v>79423.91</v>
      </c>
      <c r="L47" s="57" t="n">
        <v>79744.98</v>
      </c>
      <c r="M47" s="57" t="n">
        <v>79584.44</v>
      </c>
      <c r="N47" s="57" t="n">
        <v>284312.36</v>
      </c>
      <c r="O47" s="57" t="n">
        <v>487542.28</v>
      </c>
    </row>
    <row r="48" ht="15" customHeight="1" s="40">
      <c r="A48" s="54" t="inlineStr">
        <is>
          <t>Agosto</t>
        </is>
      </c>
      <c r="B48" s="54" t="inlineStr">
        <is>
          <t>2027-09-06</t>
        </is>
      </c>
      <c r="C48" s="55" t="n">
        <v>12.9114</v>
      </c>
      <c r="D48" s="54" t="n">
        <v>27.4</v>
      </c>
      <c r="E48" s="54" t="n">
        <v>18</v>
      </c>
      <c r="F48" s="54" t="n">
        <v>23</v>
      </c>
      <c r="G48" s="54" t="inlineStr">
        <is>
          <t>+0.0σ</t>
        </is>
      </c>
      <c r="H48" s="54" t="n">
        <v>27.4</v>
      </c>
      <c r="I48" s="56" t="n">
        <v>0.609</v>
      </c>
      <c r="J48" s="56" t="n">
        <v>0.609</v>
      </c>
      <c r="K48" s="57" t="n">
        <v>51883.09</v>
      </c>
      <c r="L48" s="57" t="n">
        <v>51442.46</v>
      </c>
      <c r="M48" s="57" t="n">
        <v>51662.77</v>
      </c>
      <c r="N48" s="57" t="n">
        <v>155579.65</v>
      </c>
      <c r="O48" s="57" t="n">
        <v>379561.29</v>
      </c>
    </row>
    <row r="49" ht="15" customHeight="1" s="40">
      <c r="A49" s="54" t="inlineStr">
        <is>
          <t>Agosto</t>
        </is>
      </c>
      <c r="B49" s="54" t="inlineStr">
        <is>
          <t>2027-09-06</t>
        </is>
      </c>
      <c r="C49" s="55" t="n">
        <v>12.9114</v>
      </c>
      <c r="D49" s="54" t="n">
        <v>27.4</v>
      </c>
      <c r="E49" s="54" t="n">
        <v>18</v>
      </c>
      <c r="F49" s="54" t="n">
        <v>23</v>
      </c>
      <c r="G49" s="54" t="inlineStr">
        <is>
          <t>+0.5σ</t>
        </is>
      </c>
      <c r="H49" s="54" t="n">
        <v>36.4</v>
      </c>
      <c r="I49" s="56" t="n">
        <v>0.348</v>
      </c>
      <c r="J49" s="56" t="n">
        <v>0.347</v>
      </c>
      <c r="K49" s="57" t="n">
        <v>29829.25</v>
      </c>
      <c r="L49" s="57" t="n">
        <v>29614.32</v>
      </c>
      <c r="M49" s="57" t="n">
        <v>29721.78</v>
      </c>
      <c r="N49" s="57" t="n">
        <v>129090.76</v>
      </c>
      <c r="O49" s="57" t="n">
        <v>271580.29</v>
      </c>
    </row>
    <row r="50" ht="15" customHeight="1" s="40">
      <c r="A50" s="54" t="inlineStr">
        <is>
          <t>Agosto</t>
        </is>
      </c>
      <c r="B50" s="54" t="inlineStr">
        <is>
          <t>2027-09-06</t>
        </is>
      </c>
      <c r="C50" s="55" t="n">
        <v>12.9114</v>
      </c>
      <c r="D50" s="54" t="n">
        <v>27.4</v>
      </c>
      <c r="E50" s="54" t="n">
        <v>18</v>
      </c>
      <c r="F50" s="54" t="n">
        <v>23</v>
      </c>
      <c r="G50" s="54" t="inlineStr">
        <is>
          <t>+1.0σ</t>
        </is>
      </c>
      <c r="H50" s="54" t="n">
        <v>45.4</v>
      </c>
      <c r="I50" s="56" t="n">
        <v>0.304</v>
      </c>
      <c r="J50" s="56" t="n">
        <v>0.307</v>
      </c>
      <c r="K50" s="57" t="n">
        <v>16951.66</v>
      </c>
      <c r="L50" s="57" t="n">
        <v>16884.67</v>
      </c>
      <c r="M50" s="57" t="n">
        <v>16918.17</v>
      </c>
      <c r="N50" s="57" t="n">
        <v>102601.87</v>
      </c>
      <c r="O50" s="57" t="n">
        <v>163599.3</v>
      </c>
    </row>
    <row r="51" ht="15" customHeight="1" s="40">
      <c r="A51" s="54" t="inlineStr">
        <is>
          <t>Agosto</t>
        </is>
      </c>
      <c r="B51" s="54" t="inlineStr">
        <is>
          <t>2027-09-06</t>
        </is>
      </c>
      <c r="C51" s="55" t="n">
        <v>12.9114</v>
      </c>
      <c r="D51" s="54" t="n">
        <v>27.4</v>
      </c>
      <c r="E51" s="54" t="n">
        <v>18</v>
      </c>
      <c r="F51" s="54" t="n">
        <v>23</v>
      </c>
      <c r="G51" s="54" t="inlineStr">
        <is>
          <t>+1.5σ</t>
        </is>
      </c>
      <c r="H51" s="54" t="n">
        <v>54.4</v>
      </c>
      <c r="I51" s="56" t="n">
        <v>0.174</v>
      </c>
      <c r="J51" s="56" t="n">
        <v>0.171</v>
      </c>
      <c r="K51" s="57" t="n">
        <v>6872.83</v>
      </c>
      <c r="L51" s="57" t="n">
        <v>6655.35</v>
      </c>
      <c r="M51" s="57" t="n">
        <v>6764.09</v>
      </c>
      <c r="N51" s="57" t="n">
        <v>55618.3</v>
      </c>
      <c r="O51" s="57" t="n">
        <v>76112.97</v>
      </c>
    </row>
    <row r="52" ht="15" customHeight="1" s="40">
      <c r="A52" s="50" t="inlineStr">
        <is>
          <t>Setembro</t>
        </is>
      </c>
      <c r="B52" s="50" t="inlineStr">
        <is>
          <t>2027-10-06</t>
        </is>
      </c>
      <c r="C52" s="51" t="n">
        <v>12.8653</v>
      </c>
      <c r="D52" s="50" t="n">
        <v>62</v>
      </c>
      <c r="E52" s="50" t="n">
        <v>38.9</v>
      </c>
      <c r="F52" s="50" t="n">
        <v>23</v>
      </c>
      <c r="G52" s="50" t="inlineStr">
        <is>
          <t>-1.0σ</t>
        </is>
      </c>
      <c r="H52" s="50" t="n">
        <v>23.1</v>
      </c>
      <c r="I52" s="52" t="n">
        <v>1</v>
      </c>
      <c r="J52" s="52" t="n">
        <v>1</v>
      </c>
      <c r="K52" s="53" t="n">
        <v>360736.53</v>
      </c>
      <c r="L52" s="53" t="n">
        <v>356273.33</v>
      </c>
      <c r="M52" s="53" t="n">
        <v>358504.93</v>
      </c>
      <c r="N52" s="53" t="n">
        <v>1235846.98</v>
      </c>
      <c r="O52" s="53" t="n">
        <v>1335684.01</v>
      </c>
    </row>
    <row r="53" ht="15" customHeight="1" s="40">
      <c r="A53" s="50" t="inlineStr">
        <is>
          <t>Setembro</t>
        </is>
      </c>
      <c r="B53" s="50" t="inlineStr">
        <is>
          <t>2027-10-06</t>
        </is>
      </c>
      <c r="C53" s="51" t="n">
        <v>12.8653</v>
      </c>
      <c r="D53" s="50" t="n">
        <v>62</v>
      </c>
      <c r="E53" s="50" t="n">
        <v>38.9</v>
      </c>
      <c r="F53" s="50" t="n">
        <v>23</v>
      </c>
      <c r="G53" s="50" t="inlineStr">
        <is>
          <t>-0.5σ</t>
        </is>
      </c>
      <c r="H53" s="50" t="n">
        <v>42.5</v>
      </c>
      <c r="I53" s="52" t="n">
        <v>0.826</v>
      </c>
      <c r="J53" s="52" t="n">
        <v>0.826</v>
      </c>
      <c r="K53" s="53" t="n">
        <v>270815.56</v>
      </c>
      <c r="L53" s="53" t="n">
        <v>271693.87</v>
      </c>
      <c r="M53" s="53" t="n">
        <v>271254.72</v>
      </c>
      <c r="N53" s="53" t="n">
        <v>966614.62</v>
      </c>
      <c r="O53" s="53" t="n">
        <v>1100176.15</v>
      </c>
    </row>
    <row r="54" ht="15" customHeight="1" s="40">
      <c r="A54" s="50" t="inlineStr">
        <is>
          <t>Setembro</t>
        </is>
      </c>
      <c r="B54" s="50" t="inlineStr">
        <is>
          <t>2027-10-06</t>
        </is>
      </c>
      <c r="C54" s="51" t="n">
        <v>12.8653</v>
      </c>
      <c r="D54" s="50" t="n">
        <v>62</v>
      </c>
      <c r="E54" s="50" t="n">
        <v>38.9</v>
      </c>
      <c r="F54" s="50" t="n">
        <v>23</v>
      </c>
      <c r="G54" s="50" t="inlineStr">
        <is>
          <t>+0.0σ</t>
        </is>
      </c>
      <c r="H54" s="50" t="n">
        <v>62</v>
      </c>
      <c r="I54" s="52" t="n">
        <v>0.609</v>
      </c>
      <c r="J54" s="52" t="n">
        <v>0.608</v>
      </c>
      <c r="K54" s="53" t="n">
        <v>189490.48</v>
      </c>
      <c r="L54" s="53" t="n">
        <v>189376.17</v>
      </c>
      <c r="M54" s="53" t="n">
        <v>189433.32</v>
      </c>
      <c r="N54" s="53" t="n">
        <v>814528.73</v>
      </c>
      <c r="O54" s="53" t="n">
        <v>864668.28</v>
      </c>
    </row>
    <row r="55" ht="15" customHeight="1" s="40">
      <c r="A55" s="50" t="inlineStr">
        <is>
          <t>Setembro</t>
        </is>
      </c>
      <c r="B55" s="50" t="inlineStr">
        <is>
          <t>2027-10-06</t>
        </is>
      </c>
      <c r="C55" s="51" t="n">
        <v>12.8653</v>
      </c>
      <c r="D55" s="50" t="n">
        <v>62</v>
      </c>
      <c r="E55" s="50" t="n">
        <v>38.9</v>
      </c>
      <c r="F55" s="50" t="n">
        <v>23</v>
      </c>
      <c r="G55" s="50" t="inlineStr">
        <is>
          <t>+0.5σ</t>
        </is>
      </c>
      <c r="H55" s="50" t="n">
        <v>81.5</v>
      </c>
      <c r="I55" s="52" t="n">
        <v>0.5649999999999999</v>
      </c>
      <c r="J55" s="52" t="n">
        <v>0.5679999999999999</v>
      </c>
      <c r="K55" s="53" t="n">
        <v>115199.18</v>
      </c>
      <c r="L55" s="53" t="n">
        <v>115453.09</v>
      </c>
      <c r="M55" s="53" t="n">
        <v>115326.14</v>
      </c>
      <c r="N55" s="53" t="n">
        <v>629160.42</v>
      </c>
      <c r="O55" s="53" t="n">
        <v>662442.85</v>
      </c>
    </row>
    <row r="56" ht="15" customHeight="1" s="40">
      <c r="A56" s="50" t="inlineStr">
        <is>
          <t>Setembro</t>
        </is>
      </c>
      <c r="B56" s="50" t="inlineStr">
        <is>
          <t>2027-10-06</t>
        </is>
      </c>
      <c r="C56" s="51" t="n">
        <v>12.8653</v>
      </c>
      <c r="D56" s="50" t="n">
        <v>62</v>
      </c>
      <c r="E56" s="50" t="n">
        <v>38.9</v>
      </c>
      <c r="F56" s="50" t="n">
        <v>23</v>
      </c>
      <c r="G56" s="50" t="inlineStr">
        <is>
          <t>+1.0σ</t>
        </is>
      </c>
      <c r="H56" s="50" t="n">
        <v>101</v>
      </c>
      <c r="I56" s="52" t="n">
        <v>0.348</v>
      </c>
      <c r="J56" s="52" t="n">
        <v>0.348</v>
      </c>
      <c r="K56" s="53" t="n">
        <v>55838.53</v>
      </c>
      <c r="L56" s="53" t="n">
        <v>55577.67</v>
      </c>
      <c r="M56" s="53" t="n">
        <v>55708.1</v>
      </c>
      <c r="N56" s="53" t="n">
        <v>393652.55</v>
      </c>
      <c r="O56" s="53" t="n">
        <v>510356.96</v>
      </c>
    </row>
    <row r="57" ht="15" customHeight="1" s="40">
      <c r="A57" s="50" t="inlineStr">
        <is>
          <t>Setembro</t>
        </is>
      </c>
      <c r="B57" s="50" t="inlineStr">
        <is>
          <t>2027-10-06</t>
        </is>
      </c>
      <c r="C57" s="51" t="n">
        <v>12.8653</v>
      </c>
      <c r="D57" s="50" t="n">
        <v>62</v>
      </c>
      <c r="E57" s="50" t="n">
        <v>38.9</v>
      </c>
      <c r="F57" s="50" t="n">
        <v>23</v>
      </c>
      <c r="G57" s="50" t="inlineStr">
        <is>
          <t>+1.5σ</t>
        </is>
      </c>
      <c r="H57" s="50" t="n">
        <v>120.4</v>
      </c>
      <c r="I57" s="52" t="n">
        <v>0.174</v>
      </c>
      <c r="J57" s="52" t="n">
        <v>0.173</v>
      </c>
      <c r="K57" s="53" t="n">
        <v>28517.66</v>
      </c>
      <c r="L57" s="53" t="n">
        <v>28539.2</v>
      </c>
      <c r="M57" s="53" t="n">
        <v>28528.43</v>
      </c>
      <c r="N57" s="53" t="n">
        <v>158144.69</v>
      </c>
      <c r="O57" s="53" t="n">
        <v>358271.08</v>
      </c>
    </row>
    <row r="58" ht="15" customHeight="1" s="40">
      <c r="A58" s="54" t="inlineStr">
        <is>
          <t>Outubro</t>
        </is>
      </c>
      <c r="B58" s="54" t="inlineStr">
        <is>
          <t>2026-11-06</t>
        </is>
      </c>
      <c r="C58" s="55" t="n">
        <v>13.5205</v>
      </c>
      <c r="D58" s="54" t="n">
        <v>90.8</v>
      </c>
      <c r="E58" s="54" t="n">
        <v>42.2</v>
      </c>
      <c r="F58" s="54" t="n">
        <v>22</v>
      </c>
      <c r="G58" s="54" t="inlineStr">
        <is>
          <t>-1.0σ</t>
        </is>
      </c>
      <c r="H58" s="54" t="n">
        <v>48.6</v>
      </c>
      <c r="I58" s="56" t="n">
        <v>0.955</v>
      </c>
      <c r="J58" s="56" t="n">
        <v>0.955</v>
      </c>
      <c r="K58" s="57" t="n">
        <v>412601.45</v>
      </c>
      <c r="L58" s="57" t="n">
        <v>413156.03</v>
      </c>
      <c r="M58" s="57" t="n">
        <v>412878.74</v>
      </c>
      <c r="N58" s="57" t="n">
        <v>975967.71</v>
      </c>
      <c r="O58" s="57" t="n">
        <v>1681138.59</v>
      </c>
    </row>
    <row r="59" ht="15" customHeight="1" s="40">
      <c r="A59" s="54" t="inlineStr">
        <is>
          <t>Outubro</t>
        </is>
      </c>
      <c r="B59" s="54" t="inlineStr">
        <is>
          <t>2026-11-06</t>
        </is>
      </c>
      <c r="C59" s="55" t="n">
        <v>13.5205</v>
      </c>
      <c r="D59" s="54" t="n">
        <v>90.8</v>
      </c>
      <c r="E59" s="54" t="n">
        <v>42.2</v>
      </c>
      <c r="F59" s="54" t="n">
        <v>22</v>
      </c>
      <c r="G59" s="54" t="inlineStr">
        <is>
          <t>-0.5σ</t>
        </is>
      </c>
      <c r="H59" s="54" t="n">
        <v>69.7</v>
      </c>
      <c r="I59" s="56" t="n">
        <v>0.8179999999999999</v>
      </c>
      <c r="J59" s="56" t="n">
        <v>0.821</v>
      </c>
      <c r="K59" s="57" t="n">
        <v>306269.67</v>
      </c>
      <c r="L59" s="57" t="n">
        <v>304357.35</v>
      </c>
      <c r="M59" s="57" t="n">
        <v>305313.51</v>
      </c>
      <c r="N59" s="57" t="n">
        <v>737350.79</v>
      </c>
      <c r="O59" s="57" t="n">
        <v>1328920.27</v>
      </c>
    </row>
    <row r="60" ht="15" customHeight="1" s="40">
      <c r="A60" s="54" t="inlineStr">
        <is>
          <t>Outubro</t>
        </is>
      </c>
      <c r="B60" s="54" t="inlineStr">
        <is>
          <t>2026-11-06</t>
        </is>
      </c>
      <c r="C60" s="55" t="n">
        <v>13.5205</v>
      </c>
      <c r="D60" s="54" t="n">
        <v>90.8</v>
      </c>
      <c r="E60" s="54" t="n">
        <v>42.2</v>
      </c>
      <c r="F60" s="54" t="n">
        <v>22</v>
      </c>
      <c r="G60" s="54" t="inlineStr">
        <is>
          <t>+0.0σ</t>
        </is>
      </c>
      <c r="H60" s="54" t="n">
        <v>90.8</v>
      </c>
      <c r="I60" s="56" t="n">
        <v>0.6820000000000001</v>
      </c>
      <c r="J60" s="56" t="n">
        <v>0.68</v>
      </c>
      <c r="K60" s="57" t="n">
        <v>207742.99</v>
      </c>
      <c r="L60" s="57" t="n">
        <v>207814.06</v>
      </c>
      <c r="M60" s="57" t="n">
        <v>207778.52</v>
      </c>
      <c r="N60" s="57" t="n">
        <v>498733.87</v>
      </c>
      <c r="O60" s="57" t="n">
        <v>976701.95</v>
      </c>
    </row>
    <row r="61" ht="15" customHeight="1" s="40">
      <c r="A61" s="54" t="inlineStr">
        <is>
          <t>Outubro</t>
        </is>
      </c>
      <c r="B61" s="54" t="inlineStr">
        <is>
          <t>2026-11-06</t>
        </is>
      </c>
      <c r="C61" s="55" t="n">
        <v>13.5205</v>
      </c>
      <c r="D61" s="54" t="n">
        <v>90.8</v>
      </c>
      <c r="E61" s="54" t="n">
        <v>42.2</v>
      </c>
      <c r="F61" s="54" t="n">
        <v>22</v>
      </c>
      <c r="G61" s="54" t="inlineStr">
        <is>
          <t>+0.5σ</t>
        </is>
      </c>
      <c r="H61" s="54" t="n">
        <v>111.9</v>
      </c>
      <c r="I61" s="56" t="n">
        <v>0.455</v>
      </c>
      <c r="J61" s="56" t="n">
        <v>0.453</v>
      </c>
      <c r="K61" s="57" t="n">
        <v>125712.5</v>
      </c>
      <c r="L61" s="57" t="n">
        <v>126236.65</v>
      </c>
      <c r="M61" s="57" t="n">
        <v>125974.58</v>
      </c>
      <c r="N61" s="57" t="n">
        <v>337463.42</v>
      </c>
      <c r="O61" s="57" t="n">
        <v>624483.63</v>
      </c>
    </row>
    <row r="62" ht="15" customHeight="1" s="40">
      <c r="A62" s="54" t="inlineStr">
        <is>
          <t>Outubro</t>
        </is>
      </c>
      <c r="B62" s="54" t="inlineStr">
        <is>
          <t>2026-11-06</t>
        </is>
      </c>
      <c r="C62" s="55" t="n">
        <v>13.5205</v>
      </c>
      <c r="D62" s="54" t="n">
        <v>90.8</v>
      </c>
      <c r="E62" s="54" t="n">
        <v>42.2</v>
      </c>
      <c r="F62" s="54" t="n">
        <v>22</v>
      </c>
      <c r="G62" s="54" t="inlineStr">
        <is>
          <t>+1.0σ</t>
        </is>
      </c>
      <c r="H62" s="54" t="n">
        <v>133</v>
      </c>
      <c r="I62" s="56" t="n">
        <v>0.318</v>
      </c>
      <c r="J62" s="56" t="n">
        <v>0.318</v>
      </c>
      <c r="K62" s="57" t="n">
        <v>50203.97</v>
      </c>
      <c r="L62" s="57" t="n">
        <v>50144.15</v>
      </c>
      <c r="M62" s="57" t="n">
        <v>50174.06</v>
      </c>
      <c r="N62" s="57" t="n">
        <v>212357.39</v>
      </c>
      <c r="O62" s="57" t="n">
        <v>272265.3</v>
      </c>
    </row>
    <row r="63" ht="15" customHeight="1" s="40">
      <c r="A63" s="54" t="inlineStr">
        <is>
          <t>Outubro</t>
        </is>
      </c>
      <c r="B63" s="54" t="inlineStr">
        <is>
          <t>2026-11-06</t>
        </is>
      </c>
      <c r="C63" s="55" t="n">
        <v>13.5205</v>
      </c>
      <c r="D63" s="54" t="n">
        <v>90.8</v>
      </c>
      <c r="E63" s="54" t="n">
        <v>42.2</v>
      </c>
      <c r="F63" s="54" t="n">
        <v>22</v>
      </c>
      <c r="G63" s="54" t="inlineStr">
        <is>
          <t>+1.5σ</t>
        </is>
      </c>
      <c r="H63" s="54" t="n">
        <v>154.1</v>
      </c>
      <c r="I63" s="56" t="n">
        <v>0.091</v>
      </c>
      <c r="J63" s="56" t="n">
        <v>0.091</v>
      </c>
      <c r="K63" s="57" t="n">
        <v>5522.27</v>
      </c>
      <c r="L63" s="57" t="n">
        <v>5558.69</v>
      </c>
      <c r="M63" s="57" t="n">
        <v>5540.48</v>
      </c>
      <c r="N63" s="57" t="n">
        <v>14501.09</v>
      </c>
      <c r="O63" s="57" t="n">
        <v>87251.35000000001</v>
      </c>
    </row>
    <row r="64" ht="15" customHeight="1" s="40">
      <c r="A64" s="50" t="inlineStr">
        <is>
          <t>Novembro</t>
        </is>
      </c>
      <c r="B64" s="50" t="inlineStr">
        <is>
          <t>2026-12-06</t>
        </is>
      </c>
      <c r="C64" s="51" t="n">
        <v>13.4791</v>
      </c>
      <c r="D64" s="50" t="n">
        <v>98.5</v>
      </c>
      <c r="E64" s="50" t="n">
        <v>27.6</v>
      </c>
      <c r="F64" s="50" t="n">
        <v>22</v>
      </c>
      <c r="G64" s="50" t="inlineStr">
        <is>
          <t>-1.0σ</t>
        </is>
      </c>
      <c r="H64" s="50" t="n">
        <v>70.90000000000001</v>
      </c>
      <c r="I64" s="52" t="n">
        <v>0.909</v>
      </c>
      <c r="J64" s="52" t="n">
        <v>0.908</v>
      </c>
      <c r="K64" s="53" t="n">
        <v>172309.16</v>
      </c>
      <c r="L64" s="53" t="n">
        <v>172336.72</v>
      </c>
      <c r="M64" s="53" t="n">
        <v>172322.94</v>
      </c>
      <c r="N64" s="53" t="n">
        <v>509626.79</v>
      </c>
      <c r="O64" s="53" t="n">
        <v>832853.23</v>
      </c>
    </row>
    <row r="65" ht="15" customHeight="1" s="40">
      <c r="A65" s="50" t="inlineStr">
        <is>
          <t>Novembro</t>
        </is>
      </c>
      <c r="B65" s="50" t="inlineStr">
        <is>
          <t>2026-12-06</t>
        </is>
      </c>
      <c r="C65" s="51" t="n">
        <v>13.4791</v>
      </c>
      <c r="D65" s="50" t="n">
        <v>98.5</v>
      </c>
      <c r="E65" s="50" t="n">
        <v>27.6</v>
      </c>
      <c r="F65" s="50" t="n">
        <v>22</v>
      </c>
      <c r="G65" s="50" t="inlineStr">
        <is>
          <t>-0.5σ</t>
        </is>
      </c>
      <c r="H65" s="50" t="n">
        <v>84.7</v>
      </c>
      <c r="I65" s="52" t="n">
        <v>0.773</v>
      </c>
      <c r="J65" s="52" t="n">
        <v>0.774</v>
      </c>
      <c r="K65" s="53" t="n">
        <v>113235.73</v>
      </c>
      <c r="L65" s="53" t="n">
        <v>112841.81</v>
      </c>
      <c r="M65" s="53" t="n">
        <v>113038.77</v>
      </c>
      <c r="N65" s="53" t="n">
        <v>351103.88</v>
      </c>
      <c r="O65" s="53" t="n">
        <v>606959.25</v>
      </c>
    </row>
    <row r="66" ht="15" customHeight="1" s="40">
      <c r="A66" s="50" t="inlineStr">
        <is>
          <t>Novembro</t>
        </is>
      </c>
      <c r="B66" s="50" t="inlineStr">
        <is>
          <t>2026-12-06</t>
        </is>
      </c>
      <c r="C66" s="51" t="n">
        <v>13.4791</v>
      </c>
      <c r="D66" s="50" t="n">
        <v>98.5</v>
      </c>
      <c r="E66" s="50" t="n">
        <v>27.6</v>
      </c>
      <c r="F66" s="50" t="n">
        <v>22</v>
      </c>
      <c r="G66" s="50" t="inlineStr">
        <is>
          <t>+0.0σ</t>
        </is>
      </c>
      <c r="H66" s="50" t="n">
        <v>98.5</v>
      </c>
      <c r="I66" s="52" t="n">
        <v>0.591</v>
      </c>
      <c r="J66" s="52" t="n">
        <v>0.589</v>
      </c>
      <c r="K66" s="53" t="n">
        <v>63417.01</v>
      </c>
      <c r="L66" s="53" t="n">
        <v>63776.71</v>
      </c>
      <c r="M66" s="53" t="n">
        <v>63596.86</v>
      </c>
      <c r="N66" s="53" t="n">
        <v>192580.96</v>
      </c>
      <c r="O66" s="53" t="n">
        <v>381065.27</v>
      </c>
    </row>
    <row r="67" ht="15" customHeight="1" s="40">
      <c r="A67" s="50" t="inlineStr">
        <is>
          <t>Novembro</t>
        </is>
      </c>
      <c r="B67" s="50" t="inlineStr">
        <is>
          <t>2026-12-06</t>
        </is>
      </c>
      <c r="C67" s="51" t="n">
        <v>13.4791</v>
      </c>
      <c r="D67" s="50" t="n">
        <v>98.5</v>
      </c>
      <c r="E67" s="50" t="n">
        <v>27.6</v>
      </c>
      <c r="F67" s="50" t="n">
        <v>22</v>
      </c>
      <c r="G67" s="50" t="inlineStr">
        <is>
          <t>+0.5σ</t>
        </is>
      </c>
      <c r="H67" s="50" t="n">
        <v>112.4</v>
      </c>
      <c r="I67" s="52" t="n">
        <v>0.364</v>
      </c>
      <c r="J67" s="52" t="n">
        <v>0.367</v>
      </c>
      <c r="K67" s="53" t="n">
        <v>27149.43</v>
      </c>
      <c r="L67" s="53" t="n">
        <v>27351.7</v>
      </c>
      <c r="M67" s="53" t="n">
        <v>27250.57</v>
      </c>
      <c r="N67" s="53" t="n">
        <v>116932.34</v>
      </c>
      <c r="O67" s="53" t="n">
        <v>155171.29</v>
      </c>
    </row>
    <row r="68" ht="15" customHeight="1" s="40">
      <c r="A68" s="50" t="inlineStr">
        <is>
          <t>Novembro</t>
        </is>
      </c>
      <c r="B68" s="50" t="inlineStr">
        <is>
          <t>2026-12-06</t>
        </is>
      </c>
      <c r="C68" s="51" t="n">
        <v>13.4791</v>
      </c>
      <c r="D68" s="50" t="n">
        <v>98.5</v>
      </c>
      <c r="E68" s="50" t="n">
        <v>27.6</v>
      </c>
      <c r="F68" s="50" t="n">
        <v>22</v>
      </c>
      <c r="G68" s="50" t="inlineStr">
        <is>
          <t>+1.0σ</t>
        </is>
      </c>
      <c r="H68" s="50" t="n">
        <v>126.2</v>
      </c>
      <c r="I68" s="52" t="n">
        <v>0.136</v>
      </c>
      <c r="J68" s="52" t="n">
        <v>0.138</v>
      </c>
      <c r="K68" s="53" t="n">
        <v>6390.69</v>
      </c>
      <c r="L68" s="53" t="n">
        <v>6544.31</v>
      </c>
      <c r="M68" s="53" t="n">
        <v>6467.5</v>
      </c>
      <c r="N68" s="53" t="n">
        <v>18552.24</v>
      </c>
      <c r="O68" s="53" t="n">
        <v>91784.45</v>
      </c>
    </row>
    <row r="69" ht="15" customHeight="1" s="40">
      <c r="A69" s="50" t="inlineStr">
        <is>
          <t>Novembro</t>
        </is>
      </c>
      <c r="B69" s="50" t="inlineStr">
        <is>
          <t>2026-12-06</t>
        </is>
      </c>
      <c r="C69" s="51" t="n">
        <v>13.4791</v>
      </c>
      <c r="D69" s="50" t="n">
        <v>98.5</v>
      </c>
      <c r="E69" s="50" t="n">
        <v>27.6</v>
      </c>
      <c r="F69" s="50" t="n">
        <v>22</v>
      </c>
      <c r="G69" s="50" t="inlineStr">
        <is>
          <t>+1.5σ</t>
        </is>
      </c>
      <c r="H69" s="50" t="n">
        <v>140</v>
      </c>
      <c r="I69" s="52" t="n">
        <v>0.091</v>
      </c>
      <c r="J69" s="52" t="n">
        <v>0.091</v>
      </c>
      <c r="K69" s="53" t="n">
        <v>3784.9</v>
      </c>
      <c r="L69" s="53" t="n">
        <v>3778.33</v>
      </c>
      <c r="M69" s="53" t="n">
        <v>3781.62</v>
      </c>
      <c r="N69" s="53" t="n">
        <v>3805.76</v>
      </c>
      <c r="O69" s="53" t="n">
        <v>66636.56</v>
      </c>
    </row>
    <row r="70" ht="15" customHeight="1" s="40">
      <c r="A70" s="54" t="inlineStr">
        <is>
          <t>Dezembro</t>
        </is>
      </c>
      <c r="B70" s="54" t="inlineStr">
        <is>
          <t>2027-01-06</t>
        </is>
      </c>
      <c r="C70" s="55" t="n">
        <v>13.3779</v>
      </c>
      <c r="D70" s="54" t="n">
        <v>127</v>
      </c>
      <c r="E70" s="54" t="n">
        <v>33.1</v>
      </c>
      <c r="F70" s="54" t="n">
        <v>22</v>
      </c>
      <c r="G70" s="54" t="inlineStr">
        <is>
          <t>-1.0σ</t>
        </is>
      </c>
      <c r="H70" s="54" t="n">
        <v>93.90000000000001</v>
      </c>
      <c r="I70" s="56" t="n">
        <v>0.909</v>
      </c>
      <c r="J70" s="56" t="n">
        <v>0.908</v>
      </c>
      <c r="K70" s="57" t="n">
        <v>192748.45</v>
      </c>
      <c r="L70" s="57" t="n">
        <v>193689.61</v>
      </c>
      <c r="M70" s="57" t="n">
        <v>193219.03</v>
      </c>
      <c r="N70" s="57" t="n">
        <v>488636.67</v>
      </c>
      <c r="O70" s="57" t="n">
        <v>815989.79</v>
      </c>
    </row>
    <row r="71" ht="15" customHeight="1" s="40">
      <c r="A71" s="54" t="inlineStr">
        <is>
          <t>Dezembro</t>
        </is>
      </c>
      <c r="B71" s="54" t="inlineStr">
        <is>
          <t>2027-01-06</t>
        </is>
      </c>
      <c r="C71" s="55" t="n">
        <v>13.3779</v>
      </c>
      <c r="D71" s="54" t="n">
        <v>127</v>
      </c>
      <c r="E71" s="54" t="n">
        <v>33.1</v>
      </c>
      <c r="F71" s="54" t="n">
        <v>22</v>
      </c>
      <c r="G71" s="54" t="inlineStr">
        <is>
          <t>-0.5σ</t>
        </is>
      </c>
      <c r="H71" s="54" t="n">
        <v>110.4</v>
      </c>
      <c r="I71" s="56" t="n">
        <v>0.8179999999999999</v>
      </c>
      <c r="J71" s="56" t="n">
        <v>0.8169999999999999</v>
      </c>
      <c r="K71" s="57" t="n">
        <v>139746.7</v>
      </c>
      <c r="L71" s="57" t="n">
        <v>140721.9</v>
      </c>
      <c r="M71" s="57" t="n">
        <v>140234.3</v>
      </c>
      <c r="N71" s="57" t="n">
        <v>393056.4</v>
      </c>
      <c r="O71" s="57" t="n">
        <v>604419.55</v>
      </c>
    </row>
    <row r="72" ht="15" customHeight="1" s="40">
      <c r="A72" s="54" t="inlineStr">
        <is>
          <t>Dezembro</t>
        </is>
      </c>
      <c r="B72" s="54" t="inlineStr">
        <is>
          <t>2027-01-06</t>
        </is>
      </c>
      <c r="C72" s="55" t="n">
        <v>13.3779</v>
      </c>
      <c r="D72" s="54" t="n">
        <v>127</v>
      </c>
      <c r="E72" s="54" t="n">
        <v>33.1</v>
      </c>
      <c r="F72" s="54" t="n">
        <v>22</v>
      </c>
      <c r="G72" s="54" t="inlineStr">
        <is>
          <t>+0.0σ</t>
        </is>
      </c>
      <c r="H72" s="54" t="n">
        <v>127</v>
      </c>
      <c r="I72" s="56" t="n">
        <v>0.6820000000000001</v>
      </c>
      <c r="J72" s="56" t="n">
        <v>0.6820000000000001</v>
      </c>
      <c r="K72" s="57" t="n">
        <v>88333.92</v>
      </c>
      <c r="L72" s="57" t="n">
        <v>89048.77</v>
      </c>
      <c r="M72" s="57" t="n">
        <v>88691.34</v>
      </c>
      <c r="N72" s="57" t="n">
        <v>297476.13</v>
      </c>
      <c r="O72" s="57" t="n">
        <v>392849.3</v>
      </c>
    </row>
    <row r="73" ht="15" customHeight="1" s="40">
      <c r="A73" s="54" t="inlineStr">
        <is>
          <t>Dezembro</t>
        </is>
      </c>
      <c r="B73" s="54" t="inlineStr">
        <is>
          <t>2027-01-06</t>
        </is>
      </c>
      <c r="C73" s="55" t="n">
        <v>13.3779</v>
      </c>
      <c r="D73" s="54" t="n">
        <v>127</v>
      </c>
      <c r="E73" s="54" t="n">
        <v>33.1</v>
      </c>
      <c r="F73" s="54" t="n">
        <v>22</v>
      </c>
      <c r="G73" s="54" t="inlineStr">
        <is>
          <t>+0.5σ</t>
        </is>
      </c>
      <c r="H73" s="54" t="n">
        <v>143.5</v>
      </c>
      <c r="I73" s="56" t="n">
        <v>0.455</v>
      </c>
      <c r="J73" s="56" t="n">
        <v>0.458</v>
      </c>
      <c r="K73" s="57" t="n">
        <v>42193.79</v>
      </c>
      <c r="L73" s="57" t="n">
        <v>42126.12</v>
      </c>
      <c r="M73" s="57" t="n">
        <v>42159.96</v>
      </c>
      <c r="N73" s="57" t="n">
        <v>181279.06</v>
      </c>
      <c r="O73" s="57" t="n">
        <v>201895.86</v>
      </c>
    </row>
    <row r="74" ht="15" customHeight="1" s="40">
      <c r="A74" s="54" t="inlineStr">
        <is>
          <t>Dezembro</t>
        </is>
      </c>
      <c r="B74" s="54" t="inlineStr">
        <is>
          <t>2027-01-06</t>
        </is>
      </c>
      <c r="C74" s="55" t="n">
        <v>13.3779</v>
      </c>
      <c r="D74" s="54" t="n">
        <v>127</v>
      </c>
      <c r="E74" s="54" t="n">
        <v>33.1</v>
      </c>
      <c r="F74" s="54" t="n">
        <v>22</v>
      </c>
      <c r="G74" s="54" t="inlineStr">
        <is>
          <t>+1.0σ</t>
        </is>
      </c>
      <c r="H74" s="54" t="n">
        <v>160.1</v>
      </c>
      <c r="I74" s="56" t="n">
        <v>0.182</v>
      </c>
      <c r="J74" s="56" t="n">
        <v>0.181</v>
      </c>
      <c r="K74" s="57" t="n">
        <v>13157.45</v>
      </c>
      <c r="L74" s="57" t="n">
        <v>13012.52</v>
      </c>
      <c r="M74" s="57" t="n">
        <v>13084.98</v>
      </c>
      <c r="N74" s="57" t="n">
        <v>100943.44</v>
      </c>
      <c r="O74" s="57" t="n">
        <v>106315.59</v>
      </c>
    </row>
    <row r="75" ht="15" customHeight="1" s="40">
      <c r="A75" s="54" t="inlineStr">
        <is>
          <t>Dezembro</t>
        </is>
      </c>
      <c r="B75" s="54" t="inlineStr">
        <is>
          <t>2027-01-06</t>
        </is>
      </c>
      <c r="C75" s="55" t="n">
        <v>13.3779</v>
      </c>
      <c r="D75" s="54" t="n">
        <v>127</v>
      </c>
      <c r="E75" s="54" t="n">
        <v>33.1</v>
      </c>
      <c r="F75" s="54" t="n">
        <v>22</v>
      </c>
      <c r="G75" s="54" t="inlineStr">
        <is>
          <t>+1.5σ</t>
        </is>
      </c>
      <c r="H75" s="54" t="n">
        <v>176.7</v>
      </c>
      <c r="I75" s="56" t="n">
        <v>0.091</v>
      </c>
      <c r="J75" s="56" t="n">
        <v>0.089</v>
      </c>
      <c r="K75" s="57" t="n">
        <v>4566.46</v>
      </c>
      <c r="L75" s="57" t="n">
        <v>4454.98</v>
      </c>
      <c r="M75" s="57" t="n">
        <v>4510.72</v>
      </c>
      <c r="N75" s="57" t="n">
        <v>10735.32</v>
      </c>
      <c r="O75" s="57" t="n">
        <v>75223.24000000001</v>
      </c>
    </row>
    <row r="76"/>
  </sheetData>
  <mergeCells count="1">
    <mergeCell ref="A1:M1"/>
  </mergeCells>
  <printOptions horizontalCentered="0" verticalCentered="0" headings="0" gridLines="0" gridLinesSet="1"/>
  <pageMargins left="0.3" right="0.3" top="0.4" bottom="0.4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M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1" customWidth="1" style="39" min="1" max="13"/>
  </cols>
  <sheetData>
    <row r="1" ht="25.5" customHeight="1" s="40">
      <c r="A1" s="58" t="inlineStr">
        <is>
          <t>CLIMATOLOGIA DE CDD E PRÊMIOS — SÃO PAULO</t>
        </is>
      </c>
    </row>
    <row r="3" ht="15" customHeight="1" s="40">
      <c r="A3" s="59" t="inlineStr">
        <is>
          <t>CDD Médio Histórico por Mês (base: 1981-2025, 45 anos)</t>
        </is>
      </c>
    </row>
    <row r="4" ht="15" customHeight="1" s="40">
      <c r="A4" s="60" t="inlineStr">
        <is>
          <t>Janeiro</t>
        </is>
      </c>
      <c r="B4" s="60" t="inlineStr">
        <is>
          <t>Fevereiro</t>
        </is>
      </c>
      <c r="C4" s="60" t="inlineStr">
        <is>
          <t>Março</t>
        </is>
      </c>
      <c r="D4" s="60" t="inlineStr">
        <is>
          <t>Abril</t>
        </is>
      </c>
      <c r="E4" s="60" t="inlineStr">
        <is>
          <t>Maio</t>
        </is>
      </c>
      <c r="F4" s="60" t="inlineStr">
        <is>
          <t>Junho</t>
        </is>
      </c>
      <c r="G4" s="60" t="inlineStr">
        <is>
          <t>Julho</t>
        </is>
      </c>
      <c r="H4" s="60" t="inlineStr">
        <is>
          <t>Agosto</t>
        </is>
      </c>
      <c r="I4" s="60" t="inlineStr">
        <is>
          <t>Setembro</t>
        </is>
      </c>
      <c r="J4" s="60" t="inlineStr">
        <is>
          <t>Outubro</t>
        </is>
      </c>
      <c r="K4" s="60" t="inlineStr">
        <is>
          <t>Novembro</t>
        </is>
      </c>
      <c r="L4" s="60" t="inlineStr">
        <is>
          <t>Dezembro</t>
        </is>
      </c>
    </row>
    <row r="5" ht="15" customHeight="1" s="40">
      <c r="A5" s="39" t="n">
        <v>137.2</v>
      </c>
      <c r="B5" s="39" t="n">
        <v>125.2</v>
      </c>
      <c r="C5" s="39" t="n">
        <v>115.9</v>
      </c>
      <c r="D5" s="39" t="n">
        <v>69</v>
      </c>
      <c r="E5" s="39" t="n">
        <v>21.8</v>
      </c>
      <c r="F5" s="39" t="n">
        <v>8</v>
      </c>
      <c r="G5" s="39" t="n">
        <v>7.2</v>
      </c>
      <c r="H5" s="39" t="n">
        <v>27.4</v>
      </c>
      <c r="I5" s="39" t="n">
        <v>62</v>
      </c>
      <c r="J5" s="39" t="n">
        <v>90.8</v>
      </c>
      <c r="K5" s="39" t="n">
        <v>98.5</v>
      </c>
      <c r="L5" s="39" t="n">
        <v>127</v>
      </c>
    </row>
    <row r="24" ht="15" customHeight="1" s="40">
      <c r="A24" s="59" t="inlineStr">
        <is>
          <t>Prêmio Médio por Mês e Strike (R$)</t>
        </is>
      </c>
    </row>
    <row r="25" ht="15" customHeight="1" s="40">
      <c r="A25" s="60" t="inlineStr">
        <is>
          <t>Janeiro</t>
        </is>
      </c>
      <c r="B25" s="60" t="inlineStr">
        <is>
          <t>Fevereiro</t>
        </is>
      </c>
      <c r="C25" s="60" t="inlineStr">
        <is>
          <t>Março</t>
        </is>
      </c>
      <c r="D25" s="60" t="inlineStr">
        <is>
          <t>Abril</t>
        </is>
      </c>
      <c r="E25" s="60" t="inlineStr">
        <is>
          <t>Maio</t>
        </is>
      </c>
      <c r="F25" s="60" t="inlineStr">
        <is>
          <t>Junho</t>
        </is>
      </c>
      <c r="G25" s="60" t="inlineStr">
        <is>
          <t>Julho</t>
        </is>
      </c>
      <c r="H25" s="60" t="inlineStr">
        <is>
          <t>Agosto</t>
        </is>
      </c>
      <c r="I25" s="60" t="inlineStr">
        <is>
          <t>Setembro</t>
        </is>
      </c>
      <c r="J25" s="60" t="inlineStr">
        <is>
          <t>Outubro</t>
        </is>
      </c>
      <c r="K25" s="60" t="inlineStr">
        <is>
          <t>Novembro</t>
        </is>
      </c>
      <c r="L25" s="60" t="inlineStr">
        <is>
          <t>Dezembro</t>
        </is>
      </c>
    </row>
    <row r="26" ht="15" customHeight="1" s="40">
      <c r="A26" s="39" t="n">
        <v>146258</v>
      </c>
      <c r="B26" s="39" t="n">
        <v>157306</v>
      </c>
      <c r="C26" s="39" t="n">
        <v>163724</v>
      </c>
      <c r="D26" s="39" t="n">
        <v>127380</v>
      </c>
      <c r="E26" s="39" t="n">
        <v>116261</v>
      </c>
      <c r="F26" s="39" t="n">
        <v>54433</v>
      </c>
      <c r="G26" s="39" t="n">
        <v>52798</v>
      </c>
      <c r="H26" s="39" t="n">
        <v>126395</v>
      </c>
      <c r="I26" s="39" t="n">
        <v>398858</v>
      </c>
      <c r="J26" s="39" t="n">
        <v>400757</v>
      </c>
      <c r="K26" s="39" t="n">
        <v>167061</v>
      </c>
      <c r="L26" s="39" t="n">
        <v>185397</v>
      </c>
      <c r="M26" s="60" t="inlineStr">
        <is>
          <t>-1.0σ</t>
        </is>
      </c>
    </row>
    <row r="27" ht="15" customHeight="1" s="40">
      <c r="A27" s="39" t="n">
        <v>111620</v>
      </c>
      <c r="B27" s="39" t="n">
        <v>117556</v>
      </c>
      <c r="C27" s="39" t="n">
        <v>116705</v>
      </c>
      <c r="D27" s="39" t="n">
        <v>87416</v>
      </c>
      <c r="E27" s="39" t="n">
        <v>77922</v>
      </c>
      <c r="F27" s="39" t="n">
        <v>47024</v>
      </c>
      <c r="G27" s="39" t="n">
        <v>45892</v>
      </c>
      <c r="H27" s="39" t="n">
        <v>90498</v>
      </c>
      <c r="I27" s="39" t="n">
        <v>302067</v>
      </c>
      <c r="J27" s="39" t="n">
        <v>296141</v>
      </c>
      <c r="K27" s="39" t="n">
        <v>109516</v>
      </c>
      <c r="L27" s="39" t="n">
        <v>134576</v>
      </c>
      <c r="M27" s="60" t="inlineStr">
        <is>
          <t>-0.5σ</t>
        </is>
      </c>
    </row>
    <row r="28" ht="15" customHeight="1" s="40">
      <c r="A28" s="39" t="n">
        <v>79557</v>
      </c>
      <c r="B28" s="39" t="n">
        <v>84038</v>
      </c>
      <c r="C28" s="39" t="n">
        <v>80267</v>
      </c>
      <c r="D28" s="39" t="n">
        <v>55360</v>
      </c>
      <c r="E28" s="39" t="n">
        <v>47903</v>
      </c>
      <c r="F28" s="39" t="n">
        <v>34407</v>
      </c>
      <c r="G28" s="39" t="n">
        <v>32867</v>
      </c>
      <c r="H28" s="39" t="n">
        <v>58650</v>
      </c>
      <c r="I28" s="39" t="n">
        <v>210806</v>
      </c>
      <c r="J28" s="39" t="n">
        <v>201210</v>
      </c>
      <c r="K28" s="39" t="n">
        <v>61705</v>
      </c>
      <c r="L28" s="39" t="n">
        <v>85146</v>
      </c>
      <c r="M28" s="60" t="inlineStr">
        <is>
          <t>+0.0σ</t>
        </is>
      </c>
    </row>
    <row r="29" ht="15" customHeight="1" s="40">
      <c r="A29" s="39" t="n">
        <v>55956</v>
      </c>
      <c r="B29" s="39" t="n">
        <v>64203</v>
      </c>
      <c r="C29" s="39" t="n">
        <v>53652</v>
      </c>
      <c r="D29" s="39" t="n">
        <v>29043</v>
      </c>
      <c r="E29" s="39" t="n">
        <v>29374</v>
      </c>
      <c r="F29" s="39" t="n">
        <v>23904</v>
      </c>
      <c r="G29" s="39" t="n">
        <v>24249</v>
      </c>
      <c r="H29" s="39" t="n">
        <v>33627</v>
      </c>
      <c r="I29" s="39" t="n">
        <v>128548</v>
      </c>
      <c r="J29" s="39" t="n">
        <v>121515</v>
      </c>
      <c r="K29" s="39" t="n">
        <v>26468</v>
      </c>
      <c r="L29" s="39" t="n">
        <v>40523</v>
      </c>
      <c r="M29" s="60" t="inlineStr">
        <is>
          <t>+0.5σ</t>
        </is>
      </c>
    </row>
    <row r="30" ht="15" customHeight="1" s="40">
      <c r="A30" s="39" t="n">
        <v>36413</v>
      </c>
      <c r="B30" s="39" t="n">
        <v>49416</v>
      </c>
      <c r="C30" s="39" t="n">
        <v>32035</v>
      </c>
      <c r="D30" s="39" t="n">
        <v>6573</v>
      </c>
      <c r="E30" s="39" t="n">
        <v>14560</v>
      </c>
      <c r="F30" s="39" t="n">
        <v>15285</v>
      </c>
      <c r="G30" s="39" t="n">
        <v>19097</v>
      </c>
      <c r="H30" s="39" t="n">
        <v>18698</v>
      </c>
      <c r="I30" s="39" t="n">
        <v>61443</v>
      </c>
      <c r="J30" s="39" t="n">
        <v>47798</v>
      </c>
      <c r="K30" s="39" t="n">
        <v>6217</v>
      </c>
      <c r="L30" s="39" t="n">
        <v>12528</v>
      </c>
      <c r="M30" s="60" t="inlineStr">
        <is>
          <t>+1.0σ</t>
        </is>
      </c>
    </row>
    <row r="31" ht="15" customHeight="1" s="40">
      <c r="A31" s="39" t="n">
        <v>16413</v>
      </c>
      <c r="B31" s="39" t="n">
        <v>38602</v>
      </c>
      <c r="C31" s="39" t="n">
        <v>17015</v>
      </c>
      <c r="D31" s="39" t="n">
        <v>3626</v>
      </c>
      <c r="E31" s="39" t="n">
        <v>6534</v>
      </c>
      <c r="F31" s="39" t="n">
        <v>8619</v>
      </c>
      <c r="G31" s="39" t="n">
        <v>15995</v>
      </c>
      <c r="H31" s="39" t="n">
        <v>7276</v>
      </c>
      <c r="I31" s="39" t="n">
        <v>31058</v>
      </c>
      <c r="J31" s="39" t="n">
        <v>5080</v>
      </c>
      <c r="K31" s="39" t="n">
        <v>3609</v>
      </c>
      <c r="L31" s="39" t="n">
        <v>4311</v>
      </c>
      <c r="M31" s="60" t="inlineStr">
        <is>
          <t>+1.5σ</t>
        </is>
      </c>
    </row>
  </sheetData>
  <mergeCells count="1">
    <mergeCell ref="A1:H1"/>
  </mergeCells>
  <printOptions horizontalCentered="0" verticalCentered="0" headings="0" gridLines="0" gridLinesSet="1"/>
  <pageMargins left="0.3" right="0.3" top="0.4" bottom="0.4" header="0.511811023622047" footer="0.511811023622047"/>
  <pageSetup orientation="landscape" paperSize="1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I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1" customWidth="1" style="39" min="1" max="1"/>
    <col width="20" customWidth="1" style="39" min="2" max="2"/>
    <col width="13" customWidth="1" style="39" min="3" max="6"/>
    <col width="14" customWidth="1" style="39" min="7" max="7"/>
    <col width="12" customWidth="1" style="39" min="8" max="8"/>
    <col width="14" customWidth="1" style="39" min="9" max="9"/>
  </cols>
  <sheetData>
    <row r="1" ht="25.5" customHeight="1" s="40">
      <c r="A1" s="48" t="inlineStr">
        <is>
          <t>BASIS RISK E HEDGING EFFECTIVENESS — DERIVATIVO DE TEMPERATURA</t>
        </is>
      </c>
    </row>
    <row r="3" ht="13.5" customHeight="1" s="40">
      <c r="A3" s="61" t="inlineStr">
        <is>
          <t>Diferente do produto agrícola de referência (hedge de RECEITA — queda de produtividade é o risco),</t>
        </is>
      </c>
    </row>
    <row r="4" ht="13.5" customHeight="1" s="40">
      <c r="A4" s="61" t="inlineStr">
        <is>
          <t>este produto hedge CUSTO (PLD alto é o risco, para um gerador que precisa comprar energia no spot).</t>
        </is>
      </c>
    </row>
    <row r="5" ht="13.5" customHeight="1" s="40">
      <c r="A5" s="61" t="inlineStr">
        <is>
          <t>Isso inverte a lógica de 'downside': aqui, o que precisa ser reduzido é o risco de custo ALTO, não baixo.</t>
        </is>
      </c>
    </row>
    <row r="8" ht="19.5" customHeight="1" s="40">
      <c r="A8" s="62" t="inlineStr">
        <is>
          <t>TABELA 1 — Matriz de Acerto/Erro (mês "caro" = PLD no quartil superior da amostra)</t>
        </is>
      </c>
    </row>
    <row r="9" ht="15" customHeight="1" s="40">
      <c r="A9" s="63" t="inlineStr">
        <is>
          <t>Strike</t>
        </is>
      </c>
      <c r="B9" s="63" t="inlineStr">
        <is>
          <t>N</t>
        </is>
      </c>
      <c r="C9" s="63" t="inlineStr">
        <is>
          <t>TP</t>
        </is>
      </c>
      <c r="D9" s="63" t="inlineStr">
        <is>
          <t>FP</t>
        </is>
      </c>
      <c r="E9" s="63" t="inlineStr">
        <is>
          <t>FN</t>
        </is>
      </c>
      <c r="F9" s="63" t="inlineStr">
        <is>
          <t>TN</t>
        </is>
      </c>
      <c r="G9" s="63" t="inlineStr">
        <is>
          <t>Sensibilidade</t>
        </is>
      </c>
      <c r="H9" s="63" t="inlineStr">
        <is>
          <t>Precisão</t>
        </is>
      </c>
      <c r="I9" s="63" t="inlineStr">
        <is>
          <t>Falso Negativo</t>
        </is>
      </c>
    </row>
    <row r="10" ht="15" customHeight="1" s="40">
      <c r="A10" s="64" t="inlineStr">
        <is>
          <t>-0.5σ</t>
        </is>
      </c>
      <c r="B10" s="65" t="n">
        <v>273</v>
      </c>
      <c r="C10" s="65" t="n">
        <v>63</v>
      </c>
      <c r="D10" s="65" t="n">
        <v>150</v>
      </c>
      <c r="E10" s="65" t="n">
        <v>6</v>
      </c>
      <c r="F10" s="65" t="n">
        <v>54</v>
      </c>
      <c r="G10" s="66" t="n">
        <v>0.913</v>
      </c>
      <c r="H10" s="66" t="n">
        <v>0.296</v>
      </c>
      <c r="I10" s="66" t="n">
        <v>0.08699999999999999</v>
      </c>
    </row>
    <row r="11" ht="15" customHeight="1" s="40">
      <c r="A11" s="54" t="inlineStr">
        <is>
          <t>+0.0σ</t>
        </is>
      </c>
      <c r="B11" s="65" t="n">
        <v>273</v>
      </c>
      <c r="C11" s="65" t="n">
        <v>53</v>
      </c>
      <c r="D11" s="65" t="n">
        <v>101</v>
      </c>
      <c r="E11" s="65" t="n">
        <v>16</v>
      </c>
      <c r="F11" s="65" t="n">
        <v>103</v>
      </c>
      <c r="G11" s="66" t="n">
        <v>0.768</v>
      </c>
      <c r="H11" s="66" t="n">
        <v>0.344</v>
      </c>
      <c r="I11" s="66" t="n">
        <v>0.232</v>
      </c>
    </row>
    <row r="12" ht="15" customHeight="1" s="40">
      <c r="A12" s="64" t="inlineStr">
        <is>
          <t>+1.0σ</t>
        </is>
      </c>
      <c r="B12" s="65" t="n">
        <v>273</v>
      </c>
      <c r="C12" s="65" t="n">
        <v>26</v>
      </c>
      <c r="D12" s="65" t="n">
        <v>37</v>
      </c>
      <c r="E12" s="65" t="n">
        <v>43</v>
      </c>
      <c r="F12" s="65" t="n">
        <v>167</v>
      </c>
      <c r="G12" s="66" t="n">
        <v>0.377</v>
      </c>
      <c r="H12" s="66" t="n">
        <v>0.413</v>
      </c>
      <c r="I12" s="66" t="n">
        <v>0.623</v>
      </c>
    </row>
    <row r="15" ht="19.5" customHeight="1" s="40">
      <c r="A15" s="67" t="inlineStr">
        <is>
          <t>TABELA 2 — Hedging Effectiveness (semi-variância UPM, Vedenov-Barnett adaptado)</t>
        </is>
      </c>
    </row>
    <row r="16" ht="27.75" customHeight="1" s="40">
      <c r="A16" s="68" t="inlineStr">
        <is>
          <t>Strike</t>
        </is>
      </c>
      <c r="B16" s="68" t="inlineStr">
        <is>
          <t>Custo Médio s/Hedge (R$)</t>
        </is>
      </c>
      <c r="C16" s="68" t="inlineStr">
        <is>
          <t>Prêmio (R$)</t>
        </is>
      </c>
      <c r="D16" s="68" t="inlineStr">
        <is>
          <t>SV s/Hedge</t>
        </is>
      </c>
      <c r="E16" s="68" t="inlineStr">
        <is>
          <t>SV c/Hedge</t>
        </is>
      </c>
      <c r="F16" s="68" t="inlineStr">
        <is>
          <t>Efetividade</t>
        </is>
      </c>
    </row>
    <row r="17" ht="15" customHeight="1" s="40">
      <c r="A17" s="69" t="inlineStr">
        <is>
          <t>-0.5σ</t>
        </is>
      </c>
      <c r="B17" s="70" t="n">
        <v>312308</v>
      </c>
      <c r="C17" s="70" t="n">
        <v>134586</v>
      </c>
      <c r="D17" s="71" t="n">
        <v>183432575199</v>
      </c>
      <c r="E17" s="71" t="n">
        <v>72464905299</v>
      </c>
      <c r="F17" s="72" t="n">
        <v>0.605</v>
      </c>
    </row>
    <row r="18" ht="15" customHeight="1" s="40">
      <c r="A18" s="73" t="inlineStr">
        <is>
          <t>+0.0σ</t>
        </is>
      </c>
      <c r="B18" s="70" t="n">
        <v>312308</v>
      </c>
      <c r="C18" s="70" t="n">
        <v>90260</v>
      </c>
      <c r="D18" s="71" t="n">
        <v>183432575199</v>
      </c>
      <c r="E18" s="71" t="n">
        <v>94346596449</v>
      </c>
      <c r="F18" s="72" t="n">
        <v>0.486</v>
      </c>
    </row>
    <row r="19" ht="15" customHeight="1" s="40">
      <c r="A19" s="69" t="inlineStr">
        <is>
          <t>+1.0σ</t>
        </is>
      </c>
      <c r="B19" s="70" t="n">
        <v>312308</v>
      </c>
      <c r="C19" s="70" t="n">
        <v>28437</v>
      </c>
      <c r="D19" s="71" t="n">
        <v>183432575199</v>
      </c>
      <c r="E19" s="71" t="n">
        <v>147115762310</v>
      </c>
      <c r="F19" s="72" t="n">
        <v>0.198</v>
      </c>
    </row>
    <row r="22" ht="19.5" customHeight="1" s="40">
      <c r="A22" s="74" t="inlineStr">
        <is>
          <t>LEITURA DOS RESULTADOS</t>
        </is>
      </c>
    </row>
    <row r="23" ht="13.5" customHeight="1" s="40">
      <c r="A23" s="75" t="inlineStr">
        <is>
          <t>Resultado POSITIVO em todos os strikes testados (19,8% a 60,5%) — diferente do produto agrícola de</t>
        </is>
      </c>
    </row>
    <row r="24" ht="13.5" customHeight="1" s="40">
      <c r="A24" s="75" t="inlineStr">
        <is>
          <t>referência, onde a mesma metodologia (semi-variância) deu resultado negativo em todos os strikes.</t>
        </is>
      </c>
    </row>
    <row r="25" ht="13.5" customHeight="1" s="40">
      <c r="A25" s="75" t="inlineStr">
        <is>
          <t>A razão estrutural: aqui, o payoff do derivativo e o custo que ele protege compartilham o MESMO PLD</t>
        </is>
      </c>
    </row>
    <row r="26" ht="13.5" customHeight="1" s="40">
      <c r="A26" s="75" t="inlineStr">
        <is>
          <t>realizado no mês (payoff = MW_extra × PLD; custo = MW_extra_total × PLD) — mesmo com a correlação</t>
        </is>
      </c>
    </row>
    <row r="27" ht="13.5" customHeight="1" s="40">
      <c r="A27" s="75" t="inlineStr">
        <is>
          <t>CDD↔PLD sendo fraca isoladamente (r≈0,08-0,13), o hedge acompanha corretamente o risco de PREÇO por</t>
        </is>
      </c>
    </row>
    <row r="28" ht="13.5" customHeight="1" s="40">
      <c r="A28" s="75" t="inlineStr">
        <is>
          <t>construção, não depende de uma correlação forte entre temperatura e preço para funcionar.</t>
        </is>
      </c>
    </row>
  </sheetData>
  <mergeCells count="13">
    <mergeCell ref="A1:H1"/>
    <mergeCell ref="A3:H3"/>
    <mergeCell ref="A4:H4"/>
    <mergeCell ref="A5:H5"/>
    <mergeCell ref="A8:H8"/>
    <mergeCell ref="A15:H15"/>
    <mergeCell ref="A22:H22"/>
    <mergeCell ref="A23:H23"/>
    <mergeCell ref="A24:H24"/>
    <mergeCell ref="A25:H25"/>
    <mergeCell ref="A26:H26"/>
    <mergeCell ref="A27:H27"/>
    <mergeCell ref="A28:H28"/>
  </mergeCells>
  <printOptions horizontalCentered="0" verticalCentered="0" headings="0" gridLines="0" gridLinesSet="1"/>
  <pageMargins left="0.3" right="0.3" top="0.4" bottom="0.4" header="0.511811023622047" footer="0.511811023622047"/>
  <pageSetup orientation="landscape" paperSize="1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F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39" min="1" max="1"/>
    <col width="20" customWidth="1" style="39" min="2" max="6"/>
  </cols>
  <sheetData>
    <row r="1" ht="25.5" customHeight="1" s="40">
      <c r="A1" s="58" t="inlineStr">
        <is>
          <t>METODOLOGIA — DERIVATIVO DE TEMPERATURA (CDD)</t>
        </is>
      </c>
    </row>
    <row r="2"/>
    <row r="3" ht="19.5" customHeight="1" s="40">
      <c r="A3" s="62" t="inlineStr">
        <is>
          <t>ESTRUTURA DO CONTRATO (CME)</t>
        </is>
      </c>
    </row>
    <row r="4" ht="42" customHeight="1" s="40">
      <c r="A4" s="76" t="inlineStr">
        <is>
          <t>Fórmula do índice</t>
        </is>
      </c>
      <c r="B4" s="77" t="inlineStr">
        <is>
          <t>CDD(dia) = max(0, T_média − 18,33°C). T_média = (T2M_MAX+T2M_MIN)/2. Base 65°F/18,33°C é a convenção histórica real do CME, ligada ao comportamento observado de acionamento de ar-condicionado.</t>
        </is>
      </c>
    </row>
    <row r="5" ht="31.5" customHeight="1" s="40">
      <c r="A5" s="76" t="inlineStr">
        <is>
          <t>Direção do payoff</t>
        </is>
      </c>
      <c r="B5" s="77" t="inlineStr">
        <is>
          <t>CALL, não PUT — inverso do produto agrícola. Paga quando o índice fica ACIMA do strike (mês mais quente = mais risco de custo alto para o gerador comprador).</t>
        </is>
      </c>
    </row>
    <row r="6" ht="31.5" customHeight="1" s="40">
      <c r="A6" s="76" t="inlineStr">
        <is>
          <t>Estrutura real CME</t>
        </is>
      </c>
      <c r="B6" s="77" t="inlineStr">
        <is>
          <t>Contratos mensais individuais E "seasonal strips" (2-7 meses) coexistem no mercado real. Esta versão usa contratos mensais, seguindo a mesma arquitetura do produto de referência.</t>
        </is>
      </c>
    </row>
    <row r="7" ht="19.5" customHeight="1" s="40">
      <c r="A7" s="62" t="inlineStr">
        <is>
          <t>DADOS E FONTES</t>
        </is>
      </c>
    </row>
    <row r="8" ht="31.5" customHeight="1" s="40">
      <c r="A8" s="76" t="inlineStr">
        <is>
          <t>Temperatura</t>
        </is>
      </c>
      <c r="B8" s="77" t="inlineStr">
        <is>
          <t>NASA POWER, ponto -23,55/-46,63 (São Paulo), T2M_MAX e T2M_MIN diários, 1981-2026 (45 anos).</t>
        </is>
      </c>
    </row>
    <row r="9" ht="31.5" customHeight="1" s="40">
      <c r="A9" s="76" t="inlineStr">
        <is>
          <t>Carga de energia</t>
        </is>
      </c>
      <c r="B9" s="77" t="inlineStr">
        <is>
          <t>ONS Dados Abertos, "Carga de Energia Diária", submercado SE/CO, 2000-2026.</t>
        </is>
      </c>
    </row>
    <row r="10" ht="31.5" customHeight="1" s="40">
      <c r="A10" s="76" t="inlineStr">
        <is>
          <t>PLD</t>
        </is>
      </c>
      <c r="B10" s="77" t="inlineStr">
        <is>
          <t>CCEE, "Histórico do Preço Médio Semanal", submercado SUDESTE, 2001-2025 (agregado para mensal).</t>
        </is>
      </c>
    </row>
    <row r="11" ht="19.5" customHeight="1" s="40">
      <c r="A11" s="62" t="inlineStr">
        <is>
          <t>DISTRIBUIÇÃO ESTATÍSTICA — TESTADA, NÃO PRESUMIDA</t>
        </is>
      </c>
    </row>
    <row r="12" ht="55.5" customHeight="1" s="40">
      <c r="A12" s="76" t="inlineStr">
        <is>
          <t>Gamma vs. Normal</t>
        </is>
      </c>
      <c r="B12" s="77" t="inlineStr">
        <is>
          <t>Teste de Kolmogorov-Smirnov em cada mês: Gamma venceu em 10 de 12 meses — decisivamente nos meses de CDD baixo (Maio/Junho/Julho), onde a Normal permite valores negativos, fisicamente impossíveis para CDD. Modelo hurdle (mesmo do produto de referência) usado quando fração de meses com CDD~0 excede 15%.</t>
        </is>
      </c>
    </row>
    <row r="13" ht="19.5" customHeight="1" s="40">
      <c r="A13" s="62" t="inlineStr">
        <is>
          <t>CALIBRAÇÃO DO TICK — JORNADA DOCUMENTADA</t>
        </is>
      </c>
    </row>
    <row r="14" ht="31.5" customHeight="1" s="40">
      <c r="A14" s="76" t="inlineStr">
        <is>
          <t>Tentativa 1: tick fixo</t>
        </is>
      </c>
      <c r="B14" s="77" t="inlineStr">
        <is>
          <t>Placeholder arbitrário (R$300/ponto). Descartado.</t>
        </is>
      </c>
    </row>
    <row r="15" ht="42" customHeight="1" s="40">
      <c r="A15" s="76" t="inlineStr">
        <is>
          <t>Tentativa 2: correlação direta CDD→PLD</t>
        </is>
      </c>
      <c r="B15" s="77" t="inlineStr">
        <is>
          <t>r=0,08 (bruto) a 0,13 (excl. crise 2001-2002) — fraca. PLD no Brasil é dominado por valor da água (nível de reservatório), não por demanda — diferente de mercados térmicos (EUA), onde HDD/CDD→preço é mais direto.</t>
        </is>
      </c>
    </row>
    <row r="16" ht="42" customHeight="1" s="40">
      <c r="A16" s="76" t="inlineStr">
        <is>
          <t>Tentativa 3 (adotada): bootstrap de pares reais</t>
        </is>
      </c>
      <c r="B16" s="77" t="inlineStr">
        <is>
          <t>Em vez de tick fixo, HBA/Monte Carlo reamostram PARES históricos (CDD,PLD) do mesmo mês/ano — preserva a correlação fraca real, sem assumir independência nem uma relação mais forte do que existe.</t>
        </is>
      </c>
    </row>
    <row r="17" ht="69.75" customHeight="1" s="40">
      <c r="A17" s="76" t="inlineStr">
        <is>
          <t>Calibração do slope (MW/ponto CDD)</t>
        </is>
      </c>
      <c r="B17" s="77" t="inlineStr">
        <is>
          <t>Regressão mensal simples: 22,40 MW/ponto, R²=0,109 — baixo para os padrões da literatura (estudos comparáveis reportam R² de 0,41 a 0,96). Regressão diária controlada por dia da semana: 21,10 MW/ponto (equivalente mensal), R²=0,654 — dentro da faixa da literatura. Coeficiente estável entre as duas versões (dif. 5,8%); o que melhorou foi a precisão (erro padrão), não o valor em si.</t>
        </is>
      </c>
    </row>
    <row r="18" ht="31.5" customHeight="1" s="40">
      <c r="A18" s="76" t="inlineStr">
        <is>
          <t>Exclusão 2001-2002</t>
        </is>
      </c>
      <c r="B18" s="77" t="inlineStr">
        <is>
          <t>Período do racionamento/apagão de energia — distorção estrutural conhecida do mercado brasileiro, removida deliberadamente, não por acaso.</t>
        </is>
      </c>
    </row>
    <row r="19" ht="19.5" customHeight="1" s="40">
      <c r="A19" s="62" t="inlineStr">
        <is>
          <t>BASIS RISK E HEDGING EFFECTIVENESS</t>
        </is>
      </c>
    </row>
    <row r="20" ht="42" customHeight="1" s="40">
      <c r="A20" s="76" t="inlineStr">
        <is>
          <t>Resultado</t>
        </is>
      </c>
      <c r="B20" s="77" t="inlineStr">
        <is>
          <t>Positivo em todos os strikes testados (19,8% a 60,5% de redução de semi-variância) — oposto ao resultado do produto agrícola de referência. Ver aba "Basis Risk &amp; Hedging" para os números completos e a explicação estrutural.</t>
        </is>
      </c>
    </row>
    <row r="21" ht="19.5" customHeight="1" s="40">
      <c r="A21" s="62" t="inlineStr">
        <is>
          <t>CONTEXTO DE MERCADO</t>
        </is>
      </c>
    </row>
    <row r="22" ht="42" customHeight="1" s="40">
      <c r="A22" s="76" t="inlineStr">
        <is>
          <t>Onde temperatura se encaixa</t>
        </is>
      </c>
      <c r="B22" s="77" t="inlineStr">
        <is>
          <t>Energia é o maior usuário de weather derivatives nos EUA (~40% do market share global) — o produto padrão-ouro do setor. Este produto usa a mesma família (CME HDD/CDD), adaptada ao contexto brasileiro (PLD dominado por hidrologia, não demanda).</t>
        </is>
      </c>
    </row>
  </sheetData>
  <mergeCells count="21">
    <mergeCell ref="A1:F1"/>
    <mergeCell ref="A3:F3"/>
    <mergeCell ref="B4:F4"/>
    <mergeCell ref="B5:F5"/>
    <mergeCell ref="B6:F6"/>
    <mergeCell ref="A7:F7"/>
    <mergeCell ref="B8:F8"/>
    <mergeCell ref="B9:F9"/>
    <mergeCell ref="B10:F10"/>
    <mergeCell ref="A11:F11"/>
    <mergeCell ref="B12:F12"/>
    <mergeCell ref="A13:F13"/>
    <mergeCell ref="B14:F14"/>
    <mergeCell ref="B15:F15"/>
    <mergeCell ref="B16:F16"/>
    <mergeCell ref="B17:F17"/>
    <mergeCell ref="B18:F18"/>
    <mergeCell ref="A19:F19"/>
    <mergeCell ref="B20:F20"/>
    <mergeCell ref="A21:F21"/>
    <mergeCell ref="B22:F22"/>
  </mergeCells>
  <printOptions horizontalCentered="0" verticalCentered="0" headings="0" gridLines="0" gridLinesSet="1"/>
  <pageMargins left="0.3" right="0.3" top="0.4" bottom="0.4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2026-08-18T22:16:20Z</dcterms:created>
  <dcterms:modified xmlns:dcterms="http://purl.org/dc/terms/" xmlns:xsi="http://www.w3.org/2001/XMLSchema-instance" xsi:type="dcterms:W3CDTF">2026-08-19T18:41:56Z</dcterms:modified>
  <cp:revision>2</cp:revision>
</cp:coreProperties>
</file>