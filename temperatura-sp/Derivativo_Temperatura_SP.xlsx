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a" sheetId="1" state="visible" r:id="rId3"/>
    <sheet name="Cadeia de Strikes" sheetId="2" state="visible" r:id="rId4"/>
    <sheet name="Climatologia &amp; Gráficos" sheetId="3" state="visible" r:id="rId5"/>
    <sheet name="Basis Risk &amp; Hedging" sheetId="4" state="visible" r:id="rId6"/>
    <sheet name="Metodologi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<sst xmlns="http://schemas.openxmlformats.org/spreadsheetml/2006/main" count="367" uniqueCount="143">
  <si>
    <t xml:space="preserve">DERIVATIVO PARAMÉTRICO DE TEMPERATURA (CDD)</t>
  </si>
  <si>
    <t xml:space="preserve">Estrutura estilo CME (Cooling Degree Days) para hedge de exposição de geradores ao PLD — São Paulo / SE-CO</t>
  </si>
  <si>
    <t xml:space="preserve">O QUE É</t>
  </si>
  <si>
    <t xml:space="preserve">Uma CALL de graus-dia de resfriamento (CDD) — não uma PUT. Paga quando o mês fica MAIS quente que o strike, protegendo geradores que precisam comprar energia no mercado de curto prazo (PLD) quando a demanda por ar-condicionado dispara.</t>
  </si>
  <si>
    <t xml:space="preserve">SUBJACENTE</t>
  </si>
  <si>
    <t xml:space="preserve">CDD mensal = soma diária de max(0, T_média − 18,33°C [65°F]), fórmula exata do CME. T_média = (T2M_MAX+T2M_MIN)/2. Dados NASA POWER, 1981–2026 (45 anos).</t>
  </si>
  <si>
    <t xml:space="preserve">MECANISMO</t>
  </si>
  <si>
    <t xml:space="preserve">Temperatura → carga do submercado SE/CO → PLD. Testado com dado real: CDD→carga é forte (R²=0,654, controlado por dia da semana); carga/CDD→PLD é fraco (r≈0,08–0,13) — PLD no Brasil é dominado por valor da água, não por demanda.</t>
  </si>
  <si>
    <t xml:space="preserve">PRECIFICAÇÃO</t>
  </si>
  <si>
    <t xml:space="preserve">HBA + Monte Carlo via BOOTSTRAP DE PARES (CDD,PLD) reais — não um tick fixo. Preserva a correlação fraca real entre os dois, em vez de presumir uma relação mais forte do que existe.</t>
  </si>
  <si>
    <t xml:space="preserve">COBERTURA</t>
  </si>
  <si>
    <t xml:space="preserve">12 contratos mensais (ano civil completo) — geração de energia não tem entressafra.</t>
  </si>
  <si>
    <t xml:space="preserve">DESCONTO</t>
  </si>
  <si>
    <t xml:space="preserve">Curva de juros futura (ETTJ ANBIMA) por vencimento — mesma metodologia do projeto de referência.</t>
  </si>
  <si>
    <t xml:space="preserve">HEDGING EFFECTIVENESS</t>
  </si>
  <si>
    <t xml:space="preserve">Redução de semi-variância (Vedenov-Barnett, adaptada para UPM — risco de custo, não receita): até 60,5% no strike mais conservador — resultado POSITIVO, diferente do produto agrícola de referência.</t>
  </si>
  <si>
    <t xml:space="preserve">ESPECIFICAÇÃO DO CONTRATO (CONTRACT SPEC)</t>
  </si>
  <si>
    <t xml:space="preserve">Instrumento</t>
  </si>
  <si>
    <t xml:space="preserve">CALL sobre índice de graus-dia (CDD)</t>
  </si>
  <si>
    <t xml:space="preserve">Temperatura de referência</t>
  </si>
  <si>
    <t xml:space="preserve">65°F / 18,33°C (convenção CME)</t>
  </si>
  <si>
    <t xml:space="preserve">Localização</t>
  </si>
  <si>
    <t xml:space="preserve">São Paulo, SP (ponto NASA POWER -23,55/-46,63) — proxy do submercado SE/CO</t>
  </si>
  <si>
    <t xml:space="preserve">Strikes disponíveis</t>
  </si>
  <si>
    <t xml:space="preserve">±1,5σ a partir da média climatológica mensal (6 níveis)</t>
  </si>
  <si>
    <t xml:space="preserve">Slope de conversão</t>
  </si>
  <si>
    <t xml:space="preserve">21,10 MW por ponto de CDD (calibrado, regressão diária controlada por dia da semana, R²=0,654)</t>
  </si>
  <si>
    <t xml:space="preserve">Carga de risco</t>
  </si>
  <si>
    <t xml:space="preserve">20% sobre o payoff esperado</t>
  </si>
  <si>
    <t xml:space="preserve">Fonte de PLD</t>
  </si>
  <si>
    <t xml:space="preserve">CCEE, Preço Médio Semanal SUDESTE, 2003–2025 (exclui 2001-2002, racionamento/apagão)</t>
  </si>
  <si>
    <t xml:space="preserve">Total de contratos</t>
  </si>
  <si>
    <t xml:space="preserve">72 (12 meses × 6 strikes)</t>
  </si>
  <si>
    <t xml:space="preserve">CADEIA DE STRIKES — PRÊMIOS POR CONTRATO (12 meses, São Paulo)</t>
  </si>
  <si>
    <t xml:space="preserve">Mês</t>
  </si>
  <si>
    <t xml:space="preserve">Liquidação</t>
  </si>
  <si>
    <t xml:space="preserve">Taxa Juros (%a.a.)</t>
  </si>
  <si>
    <t xml:space="preserve">CDD Médio</t>
  </si>
  <si>
    <t xml:space="preserve">CDD Desvio-Pad.</t>
  </si>
  <si>
    <t xml:space="preserve">N Anos</t>
  </si>
  <si>
    <t xml:space="preserve">Strike</t>
  </si>
  <si>
    <t xml:space="preserve">Strike (CDD)</t>
  </si>
  <si>
    <t xml:space="preserve">Prob. Hist.</t>
  </si>
  <si>
    <t xml:space="preserve">Prob. MC</t>
  </si>
  <si>
    <t xml:space="preserve">Prêmio HBA (R$)</t>
  </si>
  <si>
    <t xml:space="preserve">Prêmio MC (R$)</t>
  </si>
  <si>
    <t xml:space="preserve">Prêmio Médio (R$)</t>
  </si>
  <si>
    <t xml:space="preserve">VaR95 Vend. (R$)</t>
  </si>
  <si>
    <t xml:space="preserve">Payoff P99 (R$)</t>
  </si>
  <si>
    <t xml:space="preserve">Janeiro</t>
  </si>
  <si>
    <t xml:space="preserve">2027-02-06</t>
  </si>
  <si>
    <t xml:space="preserve">-1.0σ</t>
  </si>
  <si>
    <t xml:space="preserve">-0.5σ</t>
  </si>
  <si>
    <t xml:space="preserve">+0.0σ</t>
  </si>
  <si>
    <t xml:space="preserve">+0.5σ</t>
  </si>
  <si>
    <t xml:space="preserve">+1.0σ</t>
  </si>
  <si>
    <t xml:space="preserve">+1.5σ</t>
  </si>
  <si>
    <t xml:space="preserve">Fevereiro</t>
  </si>
  <si>
    <t xml:space="preserve">2027-03-06</t>
  </si>
  <si>
    <t xml:space="preserve">Março</t>
  </si>
  <si>
    <t xml:space="preserve">2027-04-06</t>
  </si>
  <si>
    <t xml:space="preserve">Abril</t>
  </si>
  <si>
    <t xml:space="preserve">2027-05-06</t>
  </si>
  <si>
    <t xml:space="preserve">Maio</t>
  </si>
  <si>
    <t xml:space="preserve">2027-06-06</t>
  </si>
  <si>
    <t xml:space="preserve">Junho</t>
  </si>
  <si>
    <t xml:space="preserve">2027-07-06</t>
  </si>
  <si>
    <t xml:space="preserve">Julho</t>
  </si>
  <si>
    <t xml:space="preserve">2027-08-06</t>
  </si>
  <si>
    <t xml:space="preserve">Agosto</t>
  </si>
  <si>
    <t xml:space="preserve">2026-09-06</t>
  </si>
  <si>
    <t xml:space="preserve">Setembro</t>
  </si>
  <si>
    <t xml:space="preserve">2026-10-06</t>
  </si>
  <si>
    <t xml:space="preserve">Outubro</t>
  </si>
  <si>
    <t xml:space="preserve">2026-11-06</t>
  </si>
  <si>
    <t xml:space="preserve">Novembro</t>
  </si>
  <si>
    <t xml:space="preserve">2026-12-06</t>
  </si>
  <si>
    <t xml:space="preserve">Dezembro</t>
  </si>
  <si>
    <t xml:space="preserve">2027-01-06</t>
  </si>
  <si>
    <t xml:space="preserve">CLIMATOLOGIA DE CDD E PRÊMIOS — SÃO PAULO</t>
  </si>
  <si>
    <t xml:space="preserve">CDD Médio Histórico por Mês (base: 1981-2025, 45 anos)</t>
  </si>
  <si>
    <t xml:space="preserve">Prêmio Médio por Mês e Strike (R$)</t>
  </si>
  <si>
    <t xml:space="preserve">BASIS RISK E HEDGING EFFECTIVENESS — DERIVATIVO DE TEMPERATURA</t>
  </si>
  <si>
    <t xml:space="preserve">Diferente do produto agrícola de referência (hedge de RECEITA — queda de produtividade é o risco),</t>
  </si>
  <si>
    <t xml:space="preserve">este produto hedge CUSTO (PLD alto é o risco, para um gerador que precisa comprar energia no spot).</t>
  </si>
  <si>
    <t xml:space="preserve">Isso inverte a lógica de 'downside': aqui, o que precisa ser reduzido é o risco de custo ALTO, não baixo.</t>
  </si>
  <si>
    <t xml:space="preserve">TABELA 1 — Matriz de Acerto/Erro (mês "caro" = PLD no quartil superior da amostra)</t>
  </si>
  <si>
    <t xml:space="preserve">N</t>
  </si>
  <si>
    <t xml:space="preserve">TP</t>
  </si>
  <si>
    <t xml:space="preserve">FP</t>
  </si>
  <si>
    <t xml:space="preserve">FN</t>
  </si>
  <si>
    <t xml:space="preserve">TN</t>
  </si>
  <si>
    <t xml:space="preserve">Sensibilidade</t>
  </si>
  <si>
    <t xml:space="preserve">Precisão</t>
  </si>
  <si>
    <t xml:space="preserve">Falso Negativo</t>
  </si>
  <si>
    <t xml:space="preserve">TABELA 2 — Hedging Effectiveness (semi-variância UPM, Vedenov-Barnett adaptado)</t>
  </si>
  <si>
    <t xml:space="preserve">Custo Médio s/Hedge (R$)</t>
  </si>
  <si>
    <t xml:space="preserve">Prêmio (R$)</t>
  </si>
  <si>
    <t xml:space="preserve">SV s/Hedge</t>
  </si>
  <si>
    <t xml:space="preserve">SV c/Hedge</t>
  </si>
  <si>
    <t xml:space="preserve">Efetividade</t>
  </si>
  <si>
    <t xml:space="preserve">LEITURA DOS RESULTADOS</t>
  </si>
  <si>
    <t xml:space="preserve">Resultado POSITIVO em todos os strikes testados (19,8% a 60,5%) — diferente do produto agrícola de</t>
  </si>
  <si>
    <t xml:space="preserve">referência, onde a mesma metodologia (semi-variância) deu resultado negativo em todos os strikes.</t>
  </si>
  <si>
    <t xml:space="preserve">A razão estrutural: aqui, o payoff do derivativo e o custo que ele protege compartilham o MESMO PLD</t>
  </si>
  <si>
    <t xml:space="preserve">realizado no mês (payoff = MW_extra × PLD; custo = MW_extra_total × PLD) — mesmo com a correlação</t>
  </si>
  <si>
    <t xml:space="preserve">CDD↔PLD sendo fraca isoladamente (r≈0,08-0,13), o hedge acompanha corretamente o risco de PREÇO por</t>
  </si>
  <si>
    <t xml:space="preserve">construção, não depende de uma correlação forte entre temperatura e preço para funcionar.</t>
  </si>
  <si>
    <t xml:space="preserve">METODOLOGIA — DERIVATIVO DE TEMPERATURA (CDD)</t>
  </si>
  <si>
    <t xml:space="preserve">ESTRUTURA DO CONTRATO (CME)</t>
  </si>
  <si>
    <t xml:space="preserve">Fórmula do índice</t>
  </si>
  <si>
    <t xml:space="preserve">CDD(dia) = max(0, T_média − 18,33°C). T_média = (T2M_MAX+T2M_MIN)/2. Base 65°F/18,33°C é a convenção histórica real do CME, ligada ao comportamento observado de acionamento de ar-condicionado.</t>
  </si>
  <si>
    <t xml:space="preserve">Direção do payoff</t>
  </si>
  <si>
    <t xml:space="preserve">CALL, não PUT — inverso do produto agrícola. Paga quando o índice fica ACIMA do strike (mês mais quente = mais risco de custo alto para o gerador comprador).</t>
  </si>
  <si>
    <t xml:space="preserve">Estrutura real CME</t>
  </si>
  <si>
    <t xml:space="preserve">Contratos mensais individuais E "seasonal strips" (2-7 meses) coexistem no mercado real. Esta versão usa contratos mensais, seguindo a mesma arquitetura do produto de referência.</t>
  </si>
  <si>
    <t xml:space="preserve">DADOS E FONTES</t>
  </si>
  <si>
    <t xml:space="preserve">Temperatura</t>
  </si>
  <si>
    <t xml:space="preserve">NASA POWER, ponto -23,55/-46,63 (São Paulo), T2M_MAX e T2M_MIN diários, 1981-2026 (45 anos).</t>
  </si>
  <si>
    <t xml:space="preserve">Carga de energia</t>
  </si>
  <si>
    <t xml:space="preserve">ONS Dados Abertos, "Carga de Energia Diária", submercado SE/CO, 2000-2026.</t>
  </si>
  <si>
    <t xml:space="preserve">PLD</t>
  </si>
  <si>
    <t xml:space="preserve">CCEE, "Histórico do Preço Médio Semanal", submercado SUDESTE, 2001-2025 (agregado para mensal).</t>
  </si>
  <si>
    <t xml:space="preserve">DISTRIBUIÇÃO ESTATÍSTICA — TESTADA, NÃO PRESUMIDA</t>
  </si>
  <si>
    <t xml:space="preserve">Gamma vs. Normal</t>
  </si>
  <si>
    <t xml:space="preserve"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</si>
  <si>
    <t xml:space="preserve">CALIBRAÇÃO DO TICK — JORNADA DOCUMENTADA</t>
  </si>
  <si>
    <t xml:space="preserve">Tentativa 1: tick fixo</t>
  </si>
  <si>
    <t xml:space="preserve">Placeholder arbitrário (R$300/ponto). Descartado.</t>
  </si>
  <si>
    <t xml:space="preserve">Tentativa 2: correlação direta CDD→PLD</t>
  </si>
  <si>
    <t xml:space="preserve">r=0,08 (bruto) a 0,13 (excl. crise 2001-2002) — fraca. PLD no Brasil é dominado por valor da água (nível de reservatório), não por demanda — diferente de mercados térmicos (EUA), onde HDD/CDD→preço é mais direto.</t>
  </si>
  <si>
    <t xml:space="preserve">Tentativa 3 (adotada): bootstrap de pares reais</t>
  </si>
  <si>
    <t xml:space="preserve">Em vez de tick fixo, HBA/Monte Carlo reamostram PARES históricos (CDD,PLD) do mesmo mês/ano — preserva a correlação fraca real, sem assumir independência nem uma relação mais forte do que existe.</t>
  </si>
  <si>
    <t xml:space="preserve">Calibração do slope (MW/ponto CDD)</t>
  </si>
  <si>
    <t xml:space="preserve"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</si>
  <si>
    <t xml:space="preserve">Exclusão 2001-2002</t>
  </si>
  <si>
    <t xml:space="preserve">Período do racionamento/apagão de energia — distorção estrutural conhecida do mercado brasileiro, removida deliberadamente, não por acaso.</t>
  </si>
  <si>
    <t xml:space="preserve">BASIS RISK E HEDGING EFFECTIVENESS</t>
  </si>
  <si>
    <t xml:space="preserve">Resultado</t>
  </si>
  <si>
    <t xml:space="preserve">Positivo em todos os strikes testados (19,8% a 60,5% de redução de semi-variância) — oposto ao resultado do produto agrícola de referência. Ver aba "Basis Risk &amp; Hedging" para os números completos e a explicação estrutural.</t>
  </si>
  <si>
    <t xml:space="preserve">CONTEXTO DE MERCADO</t>
  </si>
  <si>
    <t xml:space="preserve">Onde temperatura se encaixa</t>
  </si>
  <si>
    <t xml:space="preserve">Energia é o maior usuário de weather derivatives nos EUA (~40% do market share global) — o produto padrão-ouro do setor. Este produto usa a mesma família (CME HDD/CDD), adaptada ao contexto brasileiro (PLD dominado por hidrologia, não demanda).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</si>
</sst>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\%"/>
    <numFmt numFmtId="166" formatCode="0.0%"/>
    <numFmt numFmtId="167" formatCode="&quot;R$ &quot;#,##0"/>
    <numFmt numFmtId="168" formatCode="#,##0"/>
    <numFmt numFmtId="169" formatCode="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2"/>
      <color rgb="FF2E5496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9"/>
      <color rgb="FF1F386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'Climatologia &amp; Gráficos'!$A$4:$L$4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'Climatologia &amp; Gráficos'!$A$5:$L$5</c:f>
              <c:numCache>
                <c:formatCode>General</c:formatCode>
                <c:ptCount val="12"/>
                <c:pt idx="0">
                  <c:v>137.2</c:v>
                </c:pt>
                <c:pt idx="1">
                  <c:v>125.2</c:v>
                </c:pt>
                <c:pt idx="2">
                  <c:v>115.9</c:v>
                </c:pt>
                <c:pt idx="3">
                  <c:v>69</c:v>
                </c:pt>
                <c:pt idx="4">
                  <c:v>21.8</c:v>
                </c:pt>
                <c:pt idx="5">
                  <c:v>8</c:v>
                </c:pt>
                <c:pt idx="6">
                  <c:v>7.2</c:v>
                </c:pt>
                <c:pt idx="7">
                  <c:v>27.4</c:v>
                </c:pt>
                <c:pt idx="8">
                  <c:v>62</c:v>
                </c:pt>
                <c:pt idx="9">
                  <c:v>90.8</c:v>
                </c:pt>
                <c:pt idx="10">
                  <c:v>98.5</c:v>
                </c:pt>
                <c:pt idx="11">
                  <c:v>127</c:v>
                </c:pt>
              </c:numCache>
            </c:numRef>
          </c:val>
        </c:ser>
        <c:gapWidth val="150"/>
        <c:overlap val="0"/>
        <c:axId val="82587849"/>
        <c:axId val="83550154"/>
      </c:barChart>
      <c:catAx>
        <c:axId val="825878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50154"/>
        <c:crosses val="autoZero"/>
        <c:auto val="1"/>
        <c:lblAlgn val="ctr"/>
        <c:lblOffset val="100"/>
        <c:noMultiLvlLbl val="0"/>
      </c:catAx>
      <c:valAx>
        <c:axId val="83550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878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'Climatologia &amp; Gráficos'!$M$26</c:f>
              <c:strCache>
                <c:ptCount val="1"/>
                <c:pt idx="0">
                  <c:v>-1.0σ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'Climatologia &amp; Gráficos'!$A$25:$L$25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'Climatologia &amp; Gráficos'!$A$26:$L$26</c:f>
              <c:numCache>
                <c:formatCode>General</c:formatCode>
                <c:ptCount val="12"/>
                <c:pt idx="0">
                  <c:v>146258</c:v>
                </c:pt>
                <c:pt idx="1">
                  <c:v>157306</c:v>
                </c:pt>
                <c:pt idx="2">
                  <c:v>163724</c:v>
                </c:pt>
                <c:pt idx="3">
                  <c:v>127380</c:v>
                </c:pt>
                <c:pt idx="4">
                  <c:v>116261</c:v>
                </c:pt>
                <c:pt idx="5">
                  <c:v>54433</c:v>
                </c:pt>
                <c:pt idx="6">
                  <c:v>52798</c:v>
                </c:pt>
                <c:pt idx="7">
                  <c:v>126395</c:v>
                </c:pt>
                <c:pt idx="8">
                  <c:v>398858</c:v>
                </c:pt>
                <c:pt idx="9">
                  <c:v>400757</c:v>
                </c:pt>
                <c:pt idx="10">
                  <c:v>167061</c:v>
                </c:pt>
                <c:pt idx="11">
                  <c:v>185397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'Climatologia &amp; Gráficos'!$M$27</c:f>
              <c:strCache>
                <c:ptCount val="1"/>
                <c:pt idx="0">
                  <c:v>-0.5σ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'Climatologia &amp; Gráficos'!$A$25:$L$25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'Climatologia &amp; Gráficos'!$A$27:$L$27</c:f>
              <c:numCache>
                <c:formatCode>General</c:formatCode>
                <c:ptCount val="12"/>
                <c:pt idx="0">
                  <c:v>111620</c:v>
                </c:pt>
                <c:pt idx="1">
                  <c:v>117556</c:v>
                </c:pt>
                <c:pt idx="2">
                  <c:v>116705</c:v>
                </c:pt>
                <c:pt idx="3">
                  <c:v>87416</c:v>
                </c:pt>
                <c:pt idx="4">
                  <c:v>77922</c:v>
                </c:pt>
                <c:pt idx="5">
                  <c:v>47024</c:v>
                </c:pt>
                <c:pt idx="6">
                  <c:v>45892</c:v>
                </c:pt>
                <c:pt idx="7">
                  <c:v>90498</c:v>
                </c:pt>
                <c:pt idx="8">
                  <c:v>302067</c:v>
                </c:pt>
                <c:pt idx="9">
                  <c:v>296141</c:v>
                </c:pt>
                <c:pt idx="10">
                  <c:v>109516</c:v>
                </c:pt>
                <c:pt idx="11">
                  <c:v>134576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'Climatologia &amp; Gráficos'!$M$28</c:f>
              <c:strCache>
                <c:ptCount val="1"/>
                <c:pt idx="0">
                  <c:v>+0.0σ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'Climatologia &amp; Gráficos'!$A$25:$L$25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'Climatologia &amp; Gráficos'!$A$28:$L$28</c:f>
              <c:numCache>
                <c:formatCode>General</c:formatCode>
                <c:ptCount val="12"/>
                <c:pt idx="0">
                  <c:v>79557</c:v>
                </c:pt>
                <c:pt idx="1">
                  <c:v>84038</c:v>
                </c:pt>
                <c:pt idx="2">
                  <c:v>80267</c:v>
                </c:pt>
                <c:pt idx="3">
                  <c:v>55360</c:v>
                </c:pt>
                <c:pt idx="4">
                  <c:v>47903</c:v>
                </c:pt>
                <c:pt idx="5">
                  <c:v>34407</c:v>
                </c:pt>
                <c:pt idx="6">
                  <c:v>32867</c:v>
                </c:pt>
                <c:pt idx="7">
                  <c:v>58650</c:v>
                </c:pt>
                <c:pt idx="8">
                  <c:v>210806</c:v>
                </c:pt>
                <c:pt idx="9">
                  <c:v>201210</c:v>
                </c:pt>
                <c:pt idx="10">
                  <c:v>61705</c:v>
                </c:pt>
                <c:pt idx="11">
                  <c:v>85146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'Climatologia &amp; Gráficos'!$M$29</c:f>
              <c:strCache>
                <c:ptCount val="1"/>
                <c:pt idx="0">
                  <c:v>+0.5σ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'Climatologia &amp; Gráficos'!$A$25:$L$25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'Climatologia &amp; Gráficos'!$A$29:$L$29</c:f>
              <c:numCache>
                <c:formatCode>General</c:formatCode>
                <c:ptCount val="12"/>
                <c:pt idx="0">
                  <c:v>55956</c:v>
                </c:pt>
                <c:pt idx="1">
                  <c:v>64203</c:v>
                </c:pt>
                <c:pt idx="2">
                  <c:v>53652</c:v>
                </c:pt>
                <c:pt idx="3">
                  <c:v>29043</c:v>
                </c:pt>
                <c:pt idx="4">
                  <c:v>29374</c:v>
                </c:pt>
                <c:pt idx="5">
                  <c:v>23904</c:v>
                </c:pt>
                <c:pt idx="6">
                  <c:v>24249</c:v>
                </c:pt>
                <c:pt idx="7">
                  <c:v>33627</c:v>
                </c:pt>
                <c:pt idx="8">
                  <c:v>128548</c:v>
                </c:pt>
                <c:pt idx="9">
                  <c:v>121515</c:v>
                </c:pt>
                <c:pt idx="10">
                  <c:v>26468</c:v>
                </c:pt>
                <c:pt idx="11">
                  <c:v>40523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'Climatologia &amp; Gráficos'!$M$30</c:f>
              <c:strCache>
                <c:ptCount val="1"/>
                <c:pt idx="0">
                  <c:v>+1.0σ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'Climatologia &amp; Gráficos'!$A$25:$L$25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'Climatologia &amp; Gráficos'!$A$30:$L$30</c:f>
              <c:numCache>
                <c:formatCode>General</c:formatCode>
                <c:ptCount val="12"/>
                <c:pt idx="0">
                  <c:v>36413</c:v>
                </c:pt>
                <c:pt idx="1">
                  <c:v>49416</c:v>
                </c:pt>
                <c:pt idx="2">
                  <c:v>32035</c:v>
                </c:pt>
                <c:pt idx="3">
                  <c:v>6573</c:v>
                </c:pt>
                <c:pt idx="4">
                  <c:v>14560</c:v>
                </c:pt>
                <c:pt idx="5">
                  <c:v>15285</c:v>
                </c:pt>
                <c:pt idx="6">
                  <c:v>19097</c:v>
                </c:pt>
                <c:pt idx="7">
                  <c:v>18698</c:v>
                </c:pt>
                <c:pt idx="8">
                  <c:v>61443</c:v>
                </c:pt>
                <c:pt idx="9">
                  <c:v>47798</c:v>
                </c:pt>
                <c:pt idx="10">
                  <c:v>6217</c:v>
                </c:pt>
                <c:pt idx="11">
                  <c:v>12528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'Climatologia &amp; Gráficos'!$M$31</c:f>
              <c:strCache>
                <c:ptCount val="1"/>
                <c:pt idx="0">
                  <c:v>+1.5σ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'Climatologia &amp; Gráficos'!$A$25:$L$25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'Climatologia &amp; Gráficos'!$A$31:$L$31</c:f>
              <c:numCache>
                <c:formatCode>General</c:formatCode>
                <c:ptCount val="12"/>
                <c:pt idx="0">
                  <c:v>16413</c:v>
                </c:pt>
                <c:pt idx="1">
                  <c:v>38602</c:v>
                </c:pt>
                <c:pt idx="2">
                  <c:v>17015</c:v>
                </c:pt>
                <c:pt idx="3">
                  <c:v>3626</c:v>
                </c:pt>
                <c:pt idx="4">
                  <c:v>6534</c:v>
                </c:pt>
                <c:pt idx="5">
                  <c:v>8619</c:v>
                </c:pt>
                <c:pt idx="6">
                  <c:v>15995</c:v>
                </c:pt>
                <c:pt idx="7">
                  <c:v>7276</c:v>
                </c:pt>
                <c:pt idx="8">
                  <c:v>31058</c:v>
                </c:pt>
                <c:pt idx="9">
                  <c:v>5080</c:v>
                </c:pt>
                <c:pt idx="10">
                  <c:v>3609</c:v>
                </c:pt>
                <c:pt idx="11">
                  <c:v>4311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521635"/>
        <c:axId val="39262522"/>
      </c:lineChart>
      <c:catAx>
        <c:axId val="225216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62522"/>
        <c:crosses val="autoZero"/>
        <c:auto val="1"/>
        <c:lblAlgn val="ctr"/>
        <c:lblOffset val="100"/>
        <c:noMultiLvlLbl val="0"/>
      </c:catAx>
      <c:valAx>
        <c:axId val="392625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$ &quot;#,##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216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'Basis Risk &amp; Hedging'!F16</c:f>
              <c:strCache>
                <c:ptCount val="1"/>
                <c:pt idx="0">
                  <c:v>Efetividade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'Basis Risk &amp; Hedging'!$A$17:$A$19</c:f>
              <c:strCache>
                <c:ptCount val="3"/>
                <c:pt idx="0">
                  <c:v>-0.5σ</c:v>
                </c:pt>
                <c:pt idx="1">
                  <c:v>+0.0σ</c:v>
                </c:pt>
                <c:pt idx="2">
                  <c:v>+1.0σ</c:v>
                </c:pt>
              </c:strCache>
            </c:strRef>
          </c:cat>
          <c:val>
            <c:numRef>
              <c:f>'Basis Risk &amp; Hedging'!$F$17:$F$19</c:f>
              <c:numCache>
                <c:formatCode>0.0%</c:formatCode>
                <c:ptCount val="3"/>
                <c:pt idx="0">
                  <c:v>0.605</c:v>
                </c:pt>
                <c:pt idx="1">
                  <c:v>0.486</c:v>
                </c:pt>
                <c:pt idx="2">
                  <c:v>0.198</c:v>
                </c:pt>
              </c:numCache>
            </c:numRef>
          </c:val>
        </c:ser>
        <c:gapWidth val="150"/>
        <c:overlap val="0"/>
        <c:axId val="72579081"/>
        <c:axId val="48886700"/>
      </c:barChart>
      <c:catAx>
        <c:axId val="725790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886700"/>
        <c:crosses val="autoZero"/>
        <c:auto val="1"/>
        <c:lblAlgn val="ctr"/>
        <c:lblOffset val="100"/>
        <c:noMultiLvlLbl val="0"/>
      </c:catAx>
      <c:valAx>
        <c:axId val="48886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790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</xdr:row>
      <xdr:rowOff>0</xdr:rowOff>
    </xdr:from>
    <xdr:to>
      <xdr:col>9</xdr:col>
      <xdr:colOff>221400</xdr:colOff>
      <xdr:row>21</xdr:row>
      <xdr:rowOff>21600</xdr:rowOff>
    </xdr:to>
    <xdr:graphicFrame>
      <xdr:nvGraphicFramePr>
        <xdr:cNvPr id="0" name="Chart 1"/>
        <xdr:cNvGraphicFramePr/>
      </xdr:nvGraphicFramePr>
      <xdr:xfrm>
        <a:off x="0" y="1276200"/>
        <a:ext cx="719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221400</xdr:colOff>
      <xdr:row>49</xdr:row>
      <xdr:rowOff>720</xdr:rowOff>
    </xdr:to>
    <xdr:graphicFrame>
      <xdr:nvGraphicFramePr>
        <xdr:cNvPr id="1" name="Chart 2"/>
        <xdr:cNvGraphicFramePr/>
      </xdr:nvGraphicFramePr>
      <xdr:xfrm>
        <a:off x="0" y="6229440"/>
        <a:ext cx="71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7</xdr:row>
      <xdr:rowOff>0</xdr:rowOff>
    </xdr:from>
    <xdr:to>
      <xdr:col>19</xdr:col>
      <xdr:colOff>255600</xdr:colOff>
      <xdr:row>20</xdr:row>
      <xdr:rowOff>126720</xdr:rowOff>
    </xdr:to>
    <xdr:graphicFrame>
      <xdr:nvGraphicFramePr>
        <xdr:cNvPr id="2" name="Chart 1"/>
        <xdr:cNvGraphicFramePr/>
      </xdr:nvGraphicFramePr>
      <xdr:xfrm>
        <a:off x="9281160" y="140976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8" min="3" style="1" width="15"/>
  </cols>
  <sheetData>
    <row r="2" customFormat="false" ht="39.75" hidden="false" customHeight="true" outlineLevel="0" collapsed="false">
      <c r="B2" s="2" t="s">
        <v>0</v>
      </c>
      <c r="C2" s="2"/>
      <c r="D2" s="2"/>
      <c r="E2" s="2"/>
      <c r="F2" s="2"/>
      <c r="G2" s="2"/>
      <c r="H2" s="2"/>
    </row>
    <row r="3" customFormat="false" ht="24" hidden="false" customHeight="true" outlineLevel="0" collapsed="false">
      <c r="B3" s="3" t="s">
        <v>1</v>
      </c>
      <c r="C3" s="3"/>
      <c r="D3" s="3"/>
      <c r="E3" s="3"/>
      <c r="F3" s="3"/>
      <c r="G3" s="3"/>
      <c r="H3" s="3"/>
    </row>
    <row r="5" customFormat="false" ht="45.75" hidden="false" customHeight="true" outlineLevel="0" collapsed="false">
      <c r="B5" s="4" t="s">
        <v>2</v>
      </c>
      <c r="C5" s="5" t="s">
        <v>3</v>
      </c>
      <c r="D5" s="5"/>
      <c r="E5" s="5"/>
      <c r="F5" s="5"/>
      <c r="G5" s="5"/>
      <c r="H5" s="5"/>
    </row>
    <row r="7" customFormat="false" ht="45.75" hidden="false" customHeight="true" outlineLevel="0" collapsed="false">
      <c r="B7" s="4" t="s">
        <v>4</v>
      </c>
      <c r="C7" s="5" t="s">
        <v>5</v>
      </c>
      <c r="D7" s="5"/>
      <c r="E7" s="5"/>
      <c r="F7" s="5"/>
      <c r="G7" s="5"/>
      <c r="H7" s="5"/>
    </row>
    <row r="9" customFormat="false" ht="45.75" hidden="false" customHeight="true" outlineLevel="0" collapsed="false">
      <c r="B9" s="4" t="s">
        <v>6</v>
      </c>
      <c r="C9" s="5" t="s">
        <v>7</v>
      </c>
      <c r="D9" s="5"/>
      <c r="E9" s="5"/>
      <c r="F9" s="5"/>
      <c r="G9" s="5"/>
      <c r="H9" s="5"/>
    </row>
    <row r="11" customFormat="false" ht="45.75" hidden="false" customHeight="true" outlineLevel="0" collapsed="false">
      <c r="B11" s="4" t="s">
        <v>8</v>
      </c>
      <c r="C11" s="5" t="s">
        <v>9</v>
      </c>
      <c r="D11" s="5"/>
      <c r="E11" s="5"/>
      <c r="F11" s="5"/>
      <c r="G11" s="5"/>
      <c r="H11" s="5"/>
    </row>
    <row r="13" customFormat="false" ht="45.75" hidden="false" customHeight="true" outlineLevel="0" collapsed="false">
      <c r="B13" s="4" t="s">
        <v>10</v>
      </c>
      <c r="C13" s="5" t="s">
        <v>11</v>
      </c>
      <c r="D13" s="5"/>
      <c r="E13" s="5"/>
      <c r="F13" s="5"/>
      <c r="G13" s="5"/>
      <c r="H13" s="5"/>
    </row>
    <row r="15" customFormat="false" ht="45.75" hidden="false" customHeight="true" outlineLevel="0" collapsed="false">
      <c r="B15" s="4" t="s">
        <v>12</v>
      </c>
      <c r="C15" s="5" t="s">
        <v>13</v>
      </c>
      <c r="D15" s="5"/>
      <c r="E15" s="5"/>
      <c r="F15" s="5"/>
      <c r="G15" s="5"/>
      <c r="H15" s="5"/>
    </row>
    <row r="17" customFormat="false" ht="45.75" hidden="false" customHeight="true" outlineLevel="0" collapsed="false">
      <c r="B17" s="4" t="s">
        <v>14</v>
      </c>
      <c r="C17" s="5" t="s">
        <v>15</v>
      </c>
      <c r="D17" s="5"/>
      <c r="E17" s="5"/>
      <c r="F17" s="5"/>
      <c r="G17" s="5"/>
      <c r="H17" s="5"/>
    </row>
    <row r="20" customFormat="false" ht="21.75" hidden="false" customHeight="true" outlineLevel="0" collapsed="false">
      <c r="B20" s="6" t="s">
        <v>16</v>
      </c>
      <c r="C20" s="6"/>
      <c r="D20" s="6"/>
      <c r="E20" s="6"/>
      <c r="F20" s="6"/>
      <c r="G20" s="6"/>
      <c r="H20" s="6"/>
    </row>
    <row r="21" customFormat="false" ht="15" hidden="false" customHeight="true" outlineLevel="0" collapsed="false">
      <c r="B21" s="7" t="s">
        <v>17</v>
      </c>
      <c r="C21" s="8" t="s">
        <v>18</v>
      </c>
      <c r="D21" s="8"/>
      <c r="E21" s="8"/>
      <c r="F21" s="8"/>
      <c r="G21" s="8"/>
      <c r="H21" s="8"/>
    </row>
    <row r="22" customFormat="false" ht="15" hidden="false" customHeight="true" outlineLevel="0" collapsed="false">
      <c r="B22" s="7" t="s">
        <v>19</v>
      </c>
      <c r="C22" s="8" t="s">
        <v>20</v>
      </c>
      <c r="D22" s="8"/>
      <c r="E22" s="8"/>
      <c r="F22" s="8"/>
      <c r="G22" s="8"/>
      <c r="H22" s="8"/>
    </row>
    <row r="23" customFormat="false" ht="15" hidden="false" customHeight="true" outlineLevel="0" collapsed="false">
      <c r="B23" s="7" t="s">
        <v>21</v>
      </c>
      <c r="C23" s="8" t="s">
        <v>22</v>
      </c>
      <c r="D23" s="8"/>
      <c r="E23" s="8"/>
      <c r="F23" s="8"/>
      <c r="G23" s="8"/>
      <c r="H23" s="8"/>
    </row>
    <row r="24" customFormat="false" ht="15" hidden="false" customHeight="true" outlineLevel="0" collapsed="false">
      <c r="B24" s="7" t="s">
        <v>23</v>
      </c>
      <c r="C24" s="8" t="s">
        <v>24</v>
      </c>
      <c r="D24" s="8"/>
      <c r="E24" s="8"/>
      <c r="F24" s="8"/>
      <c r="G24" s="8"/>
      <c r="H24" s="8"/>
    </row>
    <row r="25" customFormat="false" ht="15" hidden="false" customHeight="true" outlineLevel="0" collapsed="false">
      <c r="B25" s="7" t="s">
        <v>25</v>
      </c>
      <c r="C25" s="8" t="s">
        <v>26</v>
      </c>
      <c r="D25" s="8"/>
      <c r="E25" s="8"/>
      <c r="F25" s="8"/>
      <c r="G25" s="8"/>
      <c r="H25" s="8"/>
    </row>
    <row r="26" customFormat="false" ht="15" hidden="false" customHeight="true" outlineLevel="0" collapsed="false">
      <c r="B26" s="7" t="s">
        <v>27</v>
      </c>
      <c r="C26" s="8" t="s">
        <v>28</v>
      </c>
      <c r="D26" s="8"/>
      <c r="E26" s="8"/>
      <c r="F26" s="8"/>
      <c r="G26" s="8"/>
      <c r="H26" s="8"/>
    </row>
    <row r="27" customFormat="false" ht="15" hidden="false" customHeight="true" outlineLevel="0" collapsed="false">
      <c r="B27" s="7" t="s">
        <v>29</v>
      </c>
      <c r="C27" s="8" t="s">
        <v>30</v>
      </c>
      <c r="D27" s="8"/>
      <c r="E27" s="8"/>
      <c r="F27" s="8"/>
      <c r="G27" s="8"/>
      <c r="H27" s="8"/>
    </row>
    <row r="28" customFormat="false" ht="15" hidden="false" customHeight="true" outlineLevel="0" collapsed="false">
      <c r="B28" s="7" t="s">
        <v>31</v>
      </c>
      <c r="C28" s="8" t="s">
        <v>32</v>
      </c>
      <c r="D28" s="8"/>
      <c r="E28" s="8"/>
      <c r="F28" s="8"/>
      <c r="G28" s="8"/>
      <c r="H28" s="8"/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false" outlineLevel="0" max="9" min="9" style="1" width="10"/>
    <col collapsed="false" customWidth="true" hidden="false" outlineLevel="0" max="10" min="10" style="1" width="9"/>
    <col collapsed="false" customWidth="true" hidden="false" outlineLevel="0" max="15" min="11" style="1" width="14"/>
  </cols>
  <sheetData>
    <row r="1" customFormat="false" ht="25.5" hidden="false" customHeight="true" outlineLevel="0" collapsed="false">
      <c r="A1" s="9" t="s">
        <v>33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3" customFormat="false" ht="30" hidden="false" customHeight="true" outlineLevel="0" collapsed="false">
      <c r="A3" s="10" t="s">
        <v>34</v>
      </c>
      <c r="B3" s="10" t="s">
        <v>35</v>
      </c>
      <c r="C3" s="10" t="s">
        <v>36</v>
      </c>
      <c r="D3" s="10" t="s">
        <v>37</v>
      </c>
      <c r="E3" s="10" t="s">
        <v>38</v>
      </c>
      <c r="F3" s="10" t="s">
        <v>39</v>
      </c>
      <c r="G3" s="10" t="s">
        <v>40</v>
      </c>
      <c r="H3" s="10" t="s">
        <v>41</v>
      </c>
      <c r="I3" s="10" t="s">
        <v>42</v>
      </c>
      <c r="J3" s="10" t="s">
        <v>43</v>
      </c>
      <c r="K3" s="10" t="s">
        <v>44</v>
      </c>
      <c r="L3" s="10" t="s">
        <v>45</v>
      </c>
      <c r="M3" s="10" t="s">
        <v>46</v>
      </c>
      <c r="N3" s="10" t="s">
        <v>47</v>
      </c>
      <c r="O3" s="10" t="s">
        <v>48</v>
      </c>
    </row>
    <row r="4" customFormat="false" ht="15" hidden="false" customHeight="true" outlineLevel="0" collapsed="false">
      <c r="A4" s="11" t="s">
        <v>49</v>
      </c>
      <c r="B4" s="11" t="s">
        <v>50</v>
      </c>
      <c r="C4" s="12" t="n">
        <v>13.5432</v>
      </c>
      <c r="D4" s="11" t="n">
        <v>137.2</v>
      </c>
      <c r="E4" s="11" t="n">
        <v>28.8</v>
      </c>
      <c r="F4" s="11" t="n">
        <v>23</v>
      </c>
      <c r="G4" s="11" t="s">
        <v>51</v>
      </c>
      <c r="H4" s="11" t="n">
        <v>108.4</v>
      </c>
      <c r="I4" s="13" t="n">
        <v>0.87</v>
      </c>
      <c r="J4" s="13" t="n">
        <v>0.872</v>
      </c>
      <c r="K4" s="14" t="n">
        <v>145457.49</v>
      </c>
      <c r="L4" s="14" t="n">
        <v>147291.29</v>
      </c>
      <c r="M4" s="14" t="n">
        <v>146374.39</v>
      </c>
      <c r="N4" s="14" t="n">
        <v>671159.81</v>
      </c>
      <c r="O4" s="14" t="n">
        <v>738915.9</v>
      </c>
    </row>
    <row r="5" customFormat="false" ht="15" hidden="false" customHeight="true" outlineLevel="0" collapsed="false">
      <c r="A5" s="11" t="s">
        <v>49</v>
      </c>
      <c r="B5" s="11" t="s">
        <v>50</v>
      </c>
      <c r="C5" s="12" t="n">
        <v>13.5432</v>
      </c>
      <c r="D5" s="11" t="n">
        <v>137.2</v>
      </c>
      <c r="E5" s="11" t="n">
        <v>28.8</v>
      </c>
      <c r="F5" s="11" t="n">
        <v>23</v>
      </c>
      <c r="G5" s="11" t="s">
        <v>52</v>
      </c>
      <c r="H5" s="11" t="n">
        <v>122.8</v>
      </c>
      <c r="I5" s="13" t="n">
        <v>0.739</v>
      </c>
      <c r="J5" s="13" t="n">
        <v>0.739</v>
      </c>
      <c r="K5" s="14" t="n">
        <v>111329.98</v>
      </c>
      <c r="L5" s="14" t="n">
        <v>112086.48</v>
      </c>
      <c r="M5" s="14" t="n">
        <v>111708.23</v>
      </c>
      <c r="N5" s="14" t="n">
        <v>553204.86</v>
      </c>
      <c r="O5" s="14" t="n">
        <v>619901.27</v>
      </c>
    </row>
    <row r="6" customFormat="false" ht="15" hidden="false" customHeight="true" outlineLevel="0" collapsed="false">
      <c r="A6" s="11" t="s">
        <v>49</v>
      </c>
      <c r="B6" s="11" t="s">
        <v>50</v>
      </c>
      <c r="C6" s="12" t="n">
        <v>13.5432</v>
      </c>
      <c r="D6" s="11" t="n">
        <v>137.2</v>
      </c>
      <c r="E6" s="11" t="n">
        <v>28.8</v>
      </c>
      <c r="F6" s="11" t="n">
        <v>23</v>
      </c>
      <c r="G6" s="11" t="s">
        <v>53</v>
      </c>
      <c r="H6" s="11" t="n">
        <v>137.2</v>
      </c>
      <c r="I6" s="13" t="n">
        <v>0.609</v>
      </c>
      <c r="J6" s="13" t="n">
        <v>0.611</v>
      </c>
      <c r="K6" s="14" t="n">
        <v>79372.89</v>
      </c>
      <c r="L6" s="14" t="n">
        <v>79867.32</v>
      </c>
      <c r="M6" s="14" t="n">
        <v>79620.11</v>
      </c>
      <c r="N6" s="14" t="n">
        <v>435249.91</v>
      </c>
      <c r="O6" s="14" t="n">
        <v>500886.64</v>
      </c>
    </row>
    <row r="7" customFormat="false" ht="15" hidden="false" customHeight="true" outlineLevel="0" collapsed="false">
      <c r="A7" s="11" t="s">
        <v>49</v>
      </c>
      <c r="B7" s="11" t="s">
        <v>50</v>
      </c>
      <c r="C7" s="12" t="n">
        <v>13.5432</v>
      </c>
      <c r="D7" s="11" t="n">
        <v>137.2</v>
      </c>
      <c r="E7" s="11" t="n">
        <v>28.8</v>
      </c>
      <c r="F7" s="11" t="n">
        <v>23</v>
      </c>
      <c r="G7" s="11" t="s">
        <v>54</v>
      </c>
      <c r="H7" s="11" t="n">
        <v>151.6</v>
      </c>
      <c r="I7" s="13" t="n">
        <v>0.261</v>
      </c>
      <c r="J7" s="13" t="n">
        <v>0.259</v>
      </c>
      <c r="K7" s="14" t="n">
        <v>56213.27</v>
      </c>
      <c r="L7" s="14" t="n">
        <v>55787.25</v>
      </c>
      <c r="M7" s="14" t="n">
        <v>56000.26</v>
      </c>
      <c r="N7" s="14" t="n">
        <v>317294.95</v>
      </c>
      <c r="O7" s="14" t="n">
        <v>381872.01</v>
      </c>
    </row>
    <row r="8" customFormat="false" ht="15" hidden="false" customHeight="true" outlineLevel="0" collapsed="false">
      <c r="A8" s="11" t="s">
        <v>49</v>
      </c>
      <c r="B8" s="11" t="s">
        <v>50</v>
      </c>
      <c r="C8" s="12" t="n">
        <v>13.5432</v>
      </c>
      <c r="D8" s="11" t="n">
        <v>137.2</v>
      </c>
      <c r="E8" s="11" t="n">
        <v>28.8</v>
      </c>
      <c r="F8" s="11" t="n">
        <v>23</v>
      </c>
      <c r="G8" s="11" t="s">
        <v>55</v>
      </c>
      <c r="H8" s="11" t="n">
        <v>166</v>
      </c>
      <c r="I8" s="13" t="n">
        <v>0.261</v>
      </c>
      <c r="J8" s="13" t="n">
        <v>0.263</v>
      </c>
      <c r="K8" s="14" t="n">
        <v>36293.22</v>
      </c>
      <c r="L8" s="14" t="n">
        <v>36590.11</v>
      </c>
      <c r="M8" s="14" t="n">
        <v>36441.66</v>
      </c>
      <c r="N8" s="14" t="n">
        <v>199340</v>
      </c>
      <c r="O8" s="14" t="n">
        <v>262857.38</v>
      </c>
    </row>
    <row r="9" customFormat="false" ht="15" hidden="false" customHeight="true" outlineLevel="0" collapsed="false">
      <c r="A9" s="11" t="s">
        <v>49</v>
      </c>
      <c r="B9" s="11" t="s">
        <v>50</v>
      </c>
      <c r="C9" s="12" t="n">
        <v>13.5432</v>
      </c>
      <c r="D9" s="11" t="n">
        <v>137.2</v>
      </c>
      <c r="E9" s="11" t="n">
        <v>28.8</v>
      </c>
      <c r="F9" s="11" t="n">
        <v>23</v>
      </c>
      <c r="G9" s="11" t="s">
        <v>56</v>
      </c>
      <c r="H9" s="11" t="n">
        <v>180.4</v>
      </c>
      <c r="I9" s="13" t="n">
        <v>0.217</v>
      </c>
      <c r="J9" s="13" t="n">
        <v>0.215</v>
      </c>
      <c r="K9" s="14" t="n">
        <v>16479.87</v>
      </c>
      <c r="L9" s="14" t="n">
        <v>16371.75</v>
      </c>
      <c r="M9" s="14" t="n">
        <v>16425.81</v>
      </c>
      <c r="N9" s="14" t="n">
        <v>88963.64</v>
      </c>
      <c r="O9" s="14" t="n">
        <v>143842.76</v>
      </c>
    </row>
    <row r="10" customFormat="false" ht="15" hidden="false" customHeight="true" outlineLevel="0" collapsed="false">
      <c r="A10" s="15" t="s">
        <v>57</v>
      </c>
      <c r="B10" s="15" t="s">
        <v>58</v>
      </c>
      <c r="C10" s="16" t="n">
        <v>13.5752</v>
      </c>
      <c r="D10" s="15" t="n">
        <v>125.2</v>
      </c>
      <c r="E10" s="15" t="n">
        <v>24.3</v>
      </c>
      <c r="F10" s="15" t="n">
        <v>23</v>
      </c>
      <c r="G10" s="15" t="s">
        <v>51</v>
      </c>
      <c r="H10" s="15" t="n">
        <v>100.9</v>
      </c>
      <c r="I10" s="17" t="n">
        <v>0.913</v>
      </c>
      <c r="J10" s="17" t="n">
        <v>0.913</v>
      </c>
      <c r="K10" s="18" t="n">
        <v>157851.24</v>
      </c>
      <c r="L10" s="18" t="n">
        <v>157004.25</v>
      </c>
      <c r="M10" s="18" t="n">
        <v>157427.75</v>
      </c>
      <c r="N10" s="18" t="n">
        <v>262783.84</v>
      </c>
      <c r="O10" s="18" t="n">
        <v>1786745.36</v>
      </c>
    </row>
    <row r="11" customFormat="false" ht="15" hidden="false" customHeight="true" outlineLevel="0" collapsed="false">
      <c r="A11" s="15" t="s">
        <v>57</v>
      </c>
      <c r="B11" s="15" t="s">
        <v>58</v>
      </c>
      <c r="C11" s="16" t="n">
        <v>13.5752</v>
      </c>
      <c r="D11" s="15" t="n">
        <v>125.2</v>
      </c>
      <c r="E11" s="15" t="n">
        <v>24.3</v>
      </c>
      <c r="F11" s="15" t="n">
        <v>23</v>
      </c>
      <c r="G11" s="15" t="s">
        <v>52</v>
      </c>
      <c r="H11" s="15" t="n">
        <v>113</v>
      </c>
      <c r="I11" s="17" t="n">
        <v>0.826</v>
      </c>
      <c r="J11" s="17" t="n">
        <v>0.826</v>
      </c>
      <c r="K11" s="18" t="n">
        <v>118483.69</v>
      </c>
      <c r="L11" s="18" t="n">
        <v>116809.85</v>
      </c>
      <c r="M11" s="18" t="n">
        <v>117646.77</v>
      </c>
      <c r="N11" s="18" t="n">
        <v>148987.98</v>
      </c>
      <c r="O11" s="18" t="n">
        <v>1575713.92</v>
      </c>
    </row>
    <row r="12" customFormat="false" ht="15" hidden="false" customHeight="true" outlineLevel="0" collapsed="false">
      <c r="A12" s="15" t="s">
        <v>57</v>
      </c>
      <c r="B12" s="15" t="s">
        <v>58</v>
      </c>
      <c r="C12" s="16" t="n">
        <v>13.5752</v>
      </c>
      <c r="D12" s="15" t="n">
        <v>125.2</v>
      </c>
      <c r="E12" s="15" t="n">
        <v>24.3</v>
      </c>
      <c r="F12" s="15" t="n">
        <v>23</v>
      </c>
      <c r="G12" s="15" t="s">
        <v>53</v>
      </c>
      <c r="H12" s="15" t="n">
        <v>125.2</v>
      </c>
      <c r="I12" s="17" t="n">
        <v>0.609</v>
      </c>
      <c r="J12" s="17" t="n">
        <v>0.609</v>
      </c>
      <c r="K12" s="18" t="n">
        <v>84627.43</v>
      </c>
      <c r="L12" s="18" t="n">
        <v>83578.7</v>
      </c>
      <c r="M12" s="18" t="n">
        <v>84103.06</v>
      </c>
      <c r="N12" s="18" t="n">
        <v>102504.95</v>
      </c>
      <c r="O12" s="18" t="n">
        <v>1364682.47</v>
      </c>
    </row>
    <row r="13" customFormat="false" ht="15" hidden="false" customHeight="true" outlineLevel="0" collapsed="false">
      <c r="A13" s="15" t="s">
        <v>57</v>
      </c>
      <c r="B13" s="15" t="s">
        <v>58</v>
      </c>
      <c r="C13" s="16" t="n">
        <v>13.5752</v>
      </c>
      <c r="D13" s="15" t="n">
        <v>125.2</v>
      </c>
      <c r="E13" s="15" t="n">
        <v>24.3</v>
      </c>
      <c r="F13" s="15" t="n">
        <v>23</v>
      </c>
      <c r="G13" s="15" t="s">
        <v>54</v>
      </c>
      <c r="H13" s="15" t="n">
        <v>137.3</v>
      </c>
      <c r="I13" s="17" t="n">
        <v>0.348</v>
      </c>
      <c r="J13" s="17" t="n">
        <v>0.351</v>
      </c>
      <c r="K13" s="18" t="n">
        <v>64479.27</v>
      </c>
      <c r="L13" s="18" t="n">
        <v>64026.28</v>
      </c>
      <c r="M13" s="18" t="n">
        <v>64252.78</v>
      </c>
      <c r="N13" s="18" t="n">
        <v>78458.3</v>
      </c>
      <c r="O13" s="18" t="n">
        <v>1153651.03</v>
      </c>
    </row>
    <row r="14" customFormat="false" ht="15" hidden="false" customHeight="true" outlineLevel="0" collapsed="false">
      <c r="A14" s="15" t="s">
        <v>57</v>
      </c>
      <c r="B14" s="15" t="s">
        <v>58</v>
      </c>
      <c r="C14" s="16" t="n">
        <v>13.5752</v>
      </c>
      <c r="D14" s="15" t="n">
        <v>125.2</v>
      </c>
      <c r="E14" s="15" t="n">
        <v>24.3</v>
      </c>
      <c r="F14" s="15" t="n">
        <v>23</v>
      </c>
      <c r="G14" s="15" t="s">
        <v>55</v>
      </c>
      <c r="H14" s="15" t="n">
        <v>149.5</v>
      </c>
      <c r="I14" s="17" t="n">
        <v>0.174</v>
      </c>
      <c r="J14" s="17" t="n">
        <v>0.173</v>
      </c>
      <c r="K14" s="18" t="n">
        <v>50359.41</v>
      </c>
      <c r="L14" s="18" t="n">
        <v>48549.65</v>
      </c>
      <c r="M14" s="18" t="n">
        <v>49454.53</v>
      </c>
      <c r="N14" s="18" t="n">
        <v>54411.64</v>
      </c>
      <c r="O14" s="18" t="n">
        <v>942619.59</v>
      </c>
    </row>
    <row r="15" customFormat="false" ht="15" hidden="false" customHeight="true" outlineLevel="0" collapsed="false">
      <c r="A15" s="15" t="s">
        <v>57</v>
      </c>
      <c r="B15" s="15" t="s">
        <v>58</v>
      </c>
      <c r="C15" s="16" t="n">
        <v>13.5752</v>
      </c>
      <c r="D15" s="15" t="n">
        <v>125.2</v>
      </c>
      <c r="E15" s="15" t="n">
        <v>24.3</v>
      </c>
      <c r="F15" s="15" t="n">
        <v>23</v>
      </c>
      <c r="G15" s="15" t="s">
        <v>56</v>
      </c>
      <c r="H15" s="15" t="n">
        <v>161.7</v>
      </c>
      <c r="I15" s="17" t="n">
        <v>0.13</v>
      </c>
      <c r="J15" s="17" t="n">
        <v>0.13</v>
      </c>
      <c r="K15" s="18" t="n">
        <v>38160.99</v>
      </c>
      <c r="L15" s="18" t="n">
        <v>39103.61</v>
      </c>
      <c r="M15" s="18" t="n">
        <v>38632.3</v>
      </c>
      <c r="N15" s="18" t="n">
        <v>30364.99</v>
      </c>
      <c r="O15" s="18" t="n">
        <v>731588.14</v>
      </c>
    </row>
    <row r="16" customFormat="false" ht="15" hidden="false" customHeight="true" outlineLevel="0" collapsed="false">
      <c r="A16" s="11" t="s">
        <v>59</v>
      </c>
      <c r="B16" s="11" t="s">
        <v>60</v>
      </c>
      <c r="C16" s="12" t="n">
        <v>13.6186</v>
      </c>
      <c r="D16" s="11" t="n">
        <v>115.9</v>
      </c>
      <c r="E16" s="11" t="n">
        <v>27.5</v>
      </c>
      <c r="F16" s="11" t="n">
        <v>23</v>
      </c>
      <c r="G16" s="11" t="s">
        <v>51</v>
      </c>
      <c r="H16" s="11" t="n">
        <v>88.4</v>
      </c>
      <c r="I16" s="13" t="n">
        <v>0.957</v>
      </c>
      <c r="J16" s="13" t="n">
        <v>0.957</v>
      </c>
      <c r="K16" s="14" t="n">
        <v>163092.31</v>
      </c>
      <c r="L16" s="14" t="n">
        <v>164590.05</v>
      </c>
      <c r="M16" s="14" t="n">
        <v>163841.18</v>
      </c>
      <c r="N16" s="14" t="n">
        <v>741385.57</v>
      </c>
      <c r="O16" s="14" t="n">
        <v>1081122.25</v>
      </c>
    </row>
    <row r="17" customFormat="false" ht="15" hidden="false" customHeight="true" outlineLevel="0" collapsed="false">
      <c r="A17" s="11" t="s">
        <v>59</v>
      </c>
      <c r="B17" s="11" t="s">
        <v>60</v>
      </c>
      <c r="C17" s="12" t="n">
        <v>13.6186</v>
      </c>
      <c r="D17" s="11" t="n">
        <v>115.9</v>
      </c>
      <c r="E17" s="11" t="n">
        <v>27.5</v>
      </c>
      <c r="F17" s="11" t="n">
        <v>23</v>
      </c>
      <c r="G17" s="11" t="s">
        <v>52</v>
      </c>
      <c r="H17" s="11" t="n">
        <v>102.1</v>
      </c>
      <c r="I17" s="13" t="n">
        <v>0.826</v>
      </c>
      <c r="J17" s="13" t="n">
        <v>0.825</v>
      </c>
      <c r="K17" s="14" t="n">
        <v>117490.51</v>
      </c>
      <c r="L17" s="14" t="n">
        <v>116085.59</v>
      </c>
      <c r="M17" s="14" t="n">
        <v>116788.05</v>
      </c>
      <c r="N17" s="14" t="n">
        <v>648174.55</v>
      </c>
      <c r="O17" s="14" t="n">
        <v>842878.6</v>
      </c>
    </row>
    <row r="18" customFormat="false" ht="15" hidden="false" customHeight="true" outlineLevel="0" collapsed="false">
      <c r="A18" s="11" t="s">
        <v>59</v>
      </c>
      <c r="B18" s="11" t="s">
        <v>60</v>
      </c>
      <c r="C18" s="12" t="n">
        <v>13.6186</v>
      </c>
      <c r="D18" s="11" t="n">
        <v>115.9</v>
      </c>
      <c r="E18" s="11" t="n">
        <v>27.5</v>
      </c>
      <c r="F18" s="11" t="n">
        <v>23</v>
      </c>
      <c r="G18" s="11" t="s">
        <v>53</v>
      </c>
      <c r="H18" s="11" t="n">
        <v>115.9</v>
      </c>
      <c r="I18" s="13" t="n">
        <v>0.609</v>
      </c>
      <c r="J18" s="13" t="n">
        <v>0.612</v>
      </c>
      <c r="K18" s="14" t="n">
        <v>80475.19</v>
      </c>
      <c r="L18" s="14" t="n">
        <v>80172.88</v>
      </c>
      <c r="M18" s="14" t="n">
        <v>80324.04</v>
      </c>
      <c r="N18" s="14" t="n">
        <v>554963.53</v>
      </c>
      <c r="O18" s="14" t="n">
        <v>604634.95</v>
      </c>
    </row>
    <row r="19" customFormat="false" ht="15" hidden="false" customHeight="true" outlineLevel="0" collapsed="false">
      <c r="A19" s="11" t="s">
        <v>59</v>
      </c>
      <c r="B19" s="11" t="s">
        <v>60</v>
      </c>
      <c r="C19" s="12" t="n">
        <v>13.6186</v>
      </c>
      <c r="D19" s="11" t="n">
        <v>115.9</v>
      </c>
      <c r="E19" s="11" t="n">
        <v>27.5</v>
      </c>
      <c r="F19" s="11" t="n">
        <v>23</v>
      </c>
      <c r="G19" s="11" t="s">
        <v>54</v>
      </c>
      <c r="H19" s="11" t="n">
        <v>129.6</v>
      </c>
      <c r="I19" s="13" t="n">
        <v>0.348</v>
      </c>
      <c r="J19" s="13" t="n">
        <v>0.349</v>
      </c>
      <c r="K19" s="14" t="n">
        <v>53542.1</v>
      </c>
      <c r="L19" s="14" t="n">
        <v>53838.72</v>
      </c>
      <c r="M19" s="14" t="n">
        <v>53690.41</v>
      </c>
      <c r="N19" s="14" t="n">
        <v>366391.3</v>
      </c>
      <c r="O19" s="14" t="n">
        <v>461752.51</v>
      </c>
    </row>
    <row r="20" customFormat="false" ht="15" hidden="false" customHeight="true" outlineLevel="0" collapsed="false">
      <c r="A20" s="11" t="s">
        <v>59</v>
      </c>
      <c r="B20" s="11" t="s">
        <v>60</v>
      </c>
      <c r="C20" s="12" t="n">
        <v>13.6186</v>
      </c>
      <c r="D20" s="11" t="n">
        <v>115.9</v>
      </c>
      <c r="E20" s="11" t="n">
        <v>27.5</v>
      </c>
      <c r="F20" s="11" t="n">
        <v>23</v>
      </c>
      <c r="G20" s="11" t="s">
        <v>55</v>
      </c>
      <c r="H20" s="11" t="n">
        <v>143.3</v>
      </c>
      <c r="I20" s="13" t="n">
        <v>0.217</v>
      </c>
      <c r="J20" s="13" t="n">
        <v>0.215</v>
      </c>
      <c r="K20" s="14" t="n">
        <v>32246.95</v>
      </c>
      <c r="L20" s="14" t="n">
        <v>31869.5</v>
      </c>
      <c r="M20" s="14" t="n">
        <v>32058.22</v>
      </c>
      <c r="N20" s="14" t="n">
        <v>128147.65</v>
      </c>
      <c r="O20" s="14" t="n">
        <v>368541.48</v>
      </c>
    </row>
    <row r="21" customFormat="false" ht="15" hidden="false" customHeight="true" outlineLevel="0" collapsed="false">
      <c r="A21" s="11" t="s">
        <v>59</v>
      </c>
      <c r="B21" s="11" t="s">
        <v>60</v>
      </c>
      <c r="C21" s="12" t="n">
        <v>13.6186</v>
      </c>
      <c r="D21" s="11" t="n">
        <v>115.9</v>
      </c>
      <c r="E21" s="11" t="n">
        <v>27.5</v>
      </c>
      <c r="F21" s="11" t="n">
        <v>23</v>
      </c>
      <c r="G21" s="11" t="s">
        <v>56</v>
      </c>
      <c r="H21" s="11" t="n">
        <v>157</v>
      </c>
      <c r="I21" s="13" t="n">
        <v>0.174</v>
      </c>
      <c r="J21" s="13" t="n">
        <v>0.177</v>
      </c>
      <c r="K21" s="14" t="n">
        <v>16695.5</v>
      </c>
      <c r="L21" s="14" t="n">
        <v>17357.81</v>
      </c>
      <c r="M21" s="14" t="n">
        <v>17026.65</v>
      </c>
      <c r="N21" s="14" t="n">
        <v>36365.31</v>
      </c>
      <c r="O21" s="14" t="n">
        <v>275330.46</v>
      </c>
    </row>
    <row r="22" customFormat="false" ht="15" hidden="false" customHeight="true" outlineLevel="0" collapsed="false">
      <c r="A22" s="15" t="s">
        <v>61</v>
      </c>
      <c r="B22" s="15" t="s">
        <v>62</v>
      </c>
      <c r="C22" s="16" t="n">
        <v>13.6619</v>
      </c>
      <c r="D22" s="15" t="n">
        <v>69</v>
      </c>
      <c r="E22" s="15" t="n">
        <v>27.6</v>
      </c>
      <c r="F22" s="15" t="n">
        <v>23</v>
      </c>
      <c r="G22" s="15" t="s">
        <v>51</v>
      </c>
      <c r="H22" s="15" t="n">
        <v>41.4</v>
      </c>
      <c r="I22" s="17" t="n">
        <v>0.913</v>
      </c>
      <c r="J22" s="17" t="n">
        <v>0.915</v>
      </c>
      <c r="K22" s="18" t="n">
        <v>127413.56</v>
      </c>
      <c r="L22" s="18" t="n">
        <v>127504.59</v>
      </c>
      <c r="M22" s="18" t="n">
        <v>127459.08</v>
      </c>
      <c r="N22" s="18" t="n">
        <v>265598.07</v>
      </c>
      <c r="O22" s="18" t="n">
        <v>949929.4</v>
      </c>
    </row>
    <row r="23" customFormat="false" ht="15" hidden="false" customHeight="true" outlineLevel="0" collapsed="false">
      <c r="A23" s="15" t="s">
        <v>61</v>
      </c>
      <c r="B23" s="15" t="s">
        <v>62</v>
      </c>
      <c r="C23" s="16" t="n">
        <v>13.6619</v>
      </c>
      <c r="D23" s="15" t="n">
        <v>69</v>
      </c>
      <c r="E23" s="15" t="n">
        <v>27.6</v>
      </c>
      <c r="F23" s="15" t="n">
        <v>23</v>
      </c>
      <c r="G23" s="15" t="s">
        <v>52</v>
      </c>
      <c r="H23" s="15" t="n">
        <v>55.2</v>
      </c>
      <c r="I23" s="17" t="n">
        <v>0.739</v>
      </c>
      <c r="J23" s="17" t="n">
        <v>0.737</v>
      </c>
      <c r="K23" s="18" t="n">
        <v>88147.3</v>
      </c>
      <c r="L23" s="18" t="n">
        <v>86794.76</v>
      </c>
      <c r="M23" s="18" t="n">
        <v>87471.03</v>
      </c>
      <c r="N23" s="18" t="n">
        <v>180429.44</v>
      </c>
      <c r="O23" s="18" t="n">
        <v>710595.33</v>
      </c>
    </row>
    <row r="24" customFormat="false" ht="15" hidden="false" customHeight="true" outlineLevel="0" collapsed="false">
      <c r="A24" s="15" t="s">
        <v>61</v>
      </c>
      <c r="B24" s="15" t="s">
        <v>62</v>
      </c>
      <c r="C24" s="16" t="n">
        <v>13.6619</v>
      </c>
      <c r="D24" s="15" t="n">
        <v>69</v>
      </c>
      <c r="E24" s="15" t="n">
        <v>27.6</v>
      </c>
      <c r="F24" s="15" t="n">
        <v>23</v>
      </c>
      <c r="G24" s="15" t="s">
        <v>53</v>
      </c>
      <c r="H24" s="15" t="n">
        <v>69</v>
      </c>
      <c r="I24" s="17" t="n">
        <v>0.522</v>
      </c>
      <c r="J24" s="17" t="n">
        <v>0.524</v>
      </c>
      <c r="K24" s="18" t="n">
        <v>55254.77</v>
      </c>
      <c r="L24" s="18" t="n">
        <v>55534.62</v>
      </c>
      <c r="M24" s="18" t="n">
        <v>55394.69</v>
      </c>
      <c r="N24" s="18" t="n">
        <v>126181.29</v>
      </c>
      <c r="O24" s="18" t="n">
        <v>471261.25</v>
      </c>
    </row>
    <row r="25" customFormat="false" ht="15" hidden="false" customHeight="true" outlineLevel="0" collapsed="false">
      <c r="A25" s="15" t="s">
        <v>61</v>
      </c>
      <c r="B25" s="15" t="s">
        <v>62</v>
      </c>
      <c r="C25" s="16" t="n">
        <v>13.6619</v>
      </c>
      <c r="D25" s="15" t="n">
        <v>69</v>
      </c>
      <c r="E25" s="15" t="n">
        <v>27.6</v>
      </c>
      <c r="F25" s="15" t="n">
        <v>23</v>
      </c>
      <c r="G25" s="15" t="s">
        <v>54</v>
      </c>
      <c r="H25" s="15" t="n">
        <v>82.8</v>
      </c>
      <c r="I25" s="17" t="n">
        <v>0.391</v>
      </c>
      <c r="J25" s="17" t="n">
        <v>0.391</v>
      </c>
      <c r="K25" s="18" t="n">
        <v>28967.62</v>
      </c>
      <c r="L25" s="18" t="n">
        <v>29155.44</v>
      </c>
      <c r="M25" s="18" t="n">
        <v>29061.53</v>
      </c>
      <c r="N25" s="18" t="n">
        <v>101232.22</v>
      </c>
      <c r="O25" s="18" t="n">
        <v>231927.17</v>
      </c>
    </row>
    <row r="26" customFormat="false" ht="15" hidden="false" customHeight="true" outlineLevel="0" collapsed="false">
      <c r="A26" s="15" t="s">
        <v>61</v>
      </c>
      <c r="B26" s="15" t="s">
        <v>62</v>
      </c>
      <c r="C26" s="16" t="n">
        <v>13.6619</v>
      </c>
      <c r="D26" s="15" t="n">
        <v>69</v>
      </c>
      <c r="E26" s="15" t="n">
        <v>27.6</v>
      </c>
      <c r="F26" s="15" t="n">
        <v>23</v>
      </c>
      <c r="G26" s="15" t="s">
        <v>55</v>
      </c>
      <c r="H26" s="15" t="n">
        <v>96.5</v>
      </c>
      <c r="I26" s="17" t="n">
        <v>0.261</v>
      </c>
      <c r="J26" s="17" t="n">
        <v>0.261</v>
      </c>
      <c r="K26" s="18" t="n">
        <v>6582.08</v>
      </c>
      <c r="L26" s="18" t="n">
        <v>6571.92</v>
      </c>
      <c r="M26" s="18" t="n">
        <v>6577</v>
      </c>
      <c r="N26" s="18" t="n">
        <v>27927.77</v>
      </c>
      <c r="O26" s="18" t="n">
        <v>83468.97</v>
      </c>
    </row>
    <row r="27" customFormat="false" ht="15" hidden="false" customHeight="true" outlineLevel="0" collapsed="false">
      <c r="A27" s="15" t="s">
        <v>61</v>
      </c>
      <c r="B27" s="15" t="s">
        <v>62</v>
      </c>
      <c r="C27" s="16" t="n">
        <v>13.6619</v>
      </c>
      <c r="D27" s="15" t="n">
        <v>69</v>
      </c>
      <c r="E27" s="15" t="n">
        <v>27.6</v>
      </c>
      <c r="F27" s="15" t="n">
        <v>23</v>
      </c>
      <c r="G27" s="15" t="s">
        <v>56</v>
      </c>
      <c r="H27" s="15" t="n">
        <v>110.3</v>
      </c>
      <c r="I27" s="17" t="n">
        <v>0.087</v>
      </c>
      <c r="J27" s="17" t="n">
        <v>0.086</v>
      </c>
      <c r="K27" s="18" t="n">
        <v>3671.85</v>
      </c>
      <c r="L27" s="18" t="n">
        <v>3584.65</v>
      </c>
      <c r="M27" s="18" t="n">
        <v>3628.25</v>
      </c>
      <c r="N27" s="18" t="n">
        <v>11647.95</v>
      </c>
      <c r="O27" s="18" t="n">
        <v>65705.72</v>
      </c>
    </row>
    <row r="28" customFormat="false" ht="15" hidden="false" customHeight="true" outlineLevel="0" collapsed="false">
      <c r="A28" s="11" t="s">
        <v>63</v>
      </c>
      <c r="B28" s="11" t="s">
        <v>64</v>
      </c>
      <c r="C28" s="12" t="n">
        <v>13.7033</v>
      </c>
      <c r="D28" s="11" t="n">
        <v>21.8</v>
      </c>
      <c r="E28" s="11" t="n">
        <v>21.7</v>
      </c>
      <c r="F28" s="11" t="n">
        <v>23</v>
      </c>
      <c r="G28" s="11" t="s">
        <v>51</v>
      </c>
      <c r="H28" s="11" t="n">
        <v>0</v>
      </c>
      <c r="I28" s="13" t="n">
        <v>1</v>
      </c>
      <c r="J28" s="13" t="n">
        <v>1</v>
      </c>
      <c r="K28" s="14" t="n">
        <v>116080.79</v>
      </c>
      <c r="L28" s="14" t="n">
        <v>116560.41</v>
      </c>
      <c r="M28" s="14" t="n">
        <v>116320.6</v>
      </c>
      <c r="N28" s="14" t="n">
        <v>392035.86</v>
      </c>
      <c r="O28" s="14" t="n">
        <v>669304.71</v>
      </c>
    </row>
    <row r="29" customFormat="false" ht="15" hidden="false" customHeight="true" outlineLevel="0" collapsed="false">
      <c r="A29" s="11" t="s">
        <v>63</v>
      </c>
      <c r="B29" s="11" t="s">
        <v>64</v>
      </c>
      <c r="C29" s="12" t="n">
        <v>13.7033</v>
      </c>
      <c r="D29" s="11" t="n">
        <v>21.8</v>
      </c>
      <c r="E29" s="11" t="n">
        <v>21.7</v>
      </c>
      <c r="F29" s="11" t="n">
        <v>23</v>
      </c>
      <c r="G29" s="11" t="s">
        <v>52</v>
      </c>
      <c r="H29" s="11" t="n">
        <v>10.9</v>
      </c>
      <c r="I29" s="13" t="n">
        <v>0.739</v>
      </c>
      <c r="J29" s="13" t="n">
        <v>0.738</v>
      </c>
      <c r="K29" s="14" t="n">
        <v>78241.54</v>
      </c>
      <c r="L29" s="14" t="n">
        <v>77682.07</v>
      </c>
      <c r="M29" s="14" t="n">
        <v>77961.81</v>
      </c>
      <c r="N29" s="14" t="n">
        <v>313191.59</v>
      </c>
      <c r="O29" s="14" t="n">
        <v>493524.36</v>
      </c>
    </row>
    <row r="30" customFormat="false" ht="15" hidden="false" customHeight="true" outlineLevel="0" collapsed="false">
      <c r="A30" s="11" t="s">
        <v>63</v>
      </c>
      <c r="B30" s="11" t="s">
        <v>64</v>
      </c>
      <c r="C30" s="12" t="n">
        <v>13.7033</v>
      </c>
      <c r="D30" s="11" t="n">
        <v>21.8</v>
      </c>
      <c r="E30" s="11" t="n">
        <v>21.7</v>
      </c>
      <c r="F30" s="11" t="n">
        <v>23</v>
      </c>
      <c r="G30" s="11" t="s">
        <v>53</v>
      </c>
      <c r="H30" s="11" t="n">
        <v>21.8</v>
      </c>
      <c r="I30" s="13" t="n">
        <v>0.304</v>
      </c>
      <c r="J30" s="13" t="n">
        <v>0.307</v>
      </c>
      <c r="K30" s="14" t="n">
        <v>47365.59</v>
      </c>
      <c r="L30" s="14" t="n">
        <v>48490.28</v>
      </c>
      <c r="M30" s="14" t="n">
        <v>47927.94</v>
      </c>
      <c r="N30" s="14" t="n">
        <v>234347.32</v>
      </c>
      <c r="O30" s="14" t="n">
        <v>317744.02</v>
      </c>
    </row>
    <row r="31" customFormat="false" ht="15" hidden="false" customHeight="true" outlineLevel="0" collapsed="false">
      <c r="A31" s="11" t="s">
        <v>63</v>
      </c>
      <c r="B31" s="11" t="s">
        <v>64</v>
      </c>
      <c r="C31" s="12" t="n">
        <v>13.7033</v>
      </c>
      <c r="D31" s="11" t="n">
        <v>21.8</v>
      </c>
      <c r="E31" s="11" t="n">
        <v>21.7</v>
      </c>
      <c r="F31" s="11" t="n">
        <v>23</v>
      </c>
      <c r="G31" s="11" t="s">
        <v>54</v>
      </c>
      <c r="H31" s="11" t="n">
        <v>32.6</v>
      </c>
      <c r="I31" s="13" t="n">
        <v>0.217</v>
      </c>
      <c r="J31" s="13" t="n">
        <v>0.216</v>
      </c>
      <c r="K31" s="14" t="n">
        <v>29437.48</v>
      </c>
      <c r="L31" s="14" t="n">
        <v>29340.1</v>
      </c>
      <c r="M31" s="14" t="n">
        <v>29388.79</v>
      </c>
      <c r="N31" s="14" t="n">
        <v>152994.12</v>
      </c>
      <c r="O31" s="14" t="n">
        <v>155503.05</v>
      </c>
    </row>
    <row r="32" customFormat="false" ht="15" hidden="false" customHeight="true" outlineLevel="0" collapsed="false">
      <c r="A32" s="11" t="s">
        <v>63</v>
      </c>
      <c r="B32" s="11" t="s">
        <v>64</v>
      </c>
      <c r="C32" s="12" t="n">
        <v>13.7033</v>
      </c>
      <c r="D32" s="11" t="n">
        <v>21.8</v>
      </c>
      <c r="E32" s="11" t="n">
        <v>21.7</v>
      </c>
      <c r="F32" s="11" t="n">
        <v>23</v>
      </c>
      <c r="G32" s="11" t="s">
        <v>55</v>
      </c>
      <c r="H32" s="11" t="n">
        <v>43.5</v>
      </c>
      <c r="I32" s="13" t="n">
        <v>0.174</v>
      </c>
      <c r="J32" s="13" t="n">
        <v>0.176</v>
      </c>
      <c r="K32" s="14" t="n">
        <v>14505.86</v>
      </c>
      <c r="L32" s="14" t="n">
        <v>14630.11</v>
      </c>
      <c r="M32" s="14" t="n">
        <v>14567.99</v>
      </c>
      <c r="N32" s="14" t="n">
        <v>100581.6</v>
      </c>
      <c r="O32" s="14" t="n">
        <v>106798.98</v>
      </c>
    </row>
    <row r="33" customFormat="false" ht="15" hidden="false" customHeight="true" outlineLevel="0" collapsed="false">
      <c r="A33" s="11" t="s">
        <v>63</v>
      </c>
      <c r="B33" s="11" t="s">
        <v>64</v>
      </c>
      <c r="C33" s="12" t="n">
        <v>13.7033</v>
      </c>
      <c r="D33" s="11" t="n">
        <v>21.8</v>
      </c>
      <c r="E33" s="11" t="n">
        <v>21.7</v>
      </c>
      <c r="F33" s="11" t="n">
        <v>23</v>
      </c>
      <c r="G33" s="11" t="s">
        <v>56</v>
      </c>
      <c r="H33" s="11" t="n">
        <v>54.4</v>
      </c>
      <c r="I33" s="13" t="n">
        <v>0.087</v>
      </c>
      <c r="J33" s="13" t="n">
        <v>0.085</v>
      </c>
      <c r="K33" s="14" t="n">
        <v>6618.42</v>
      </c>
      <c r="L33" s="14" t="n">
        <v>6457.2</v>
      </c>
      <c r="M33" s="14" t="n">
        <v>6537.81</v>
      </c>
      <c r="N33" s="14" t="n">
        <v>48169.09</v>
      </c>
      <c r="O33" s="14" t="n">
        <v>92796.84</v>
      </c>
    </row>
    <row r="34" customFormat="false" ht="15" hidden="false" customHeight="true" outlineLevel="0" collapsed="false">
      <c r="A34" s="15" t="s">
        <v>65</v>
      </c>
      <c r="B34" s="15" t="s">
        <v>66</v>
      </c>
      <c r="C34" s="16" t="n">
        <v>13.7466</v>
      </c>
      <c r="D34" s="15" t="n">
        <v>8</v>
      </c>
      <c r="E34" s="15" t="n">
        <v>10.7</v>
      </c>
      <c r="F34" s="15" t="n">
        <v>23</v>
      </c>
      <c r="G34" s="15" t="s">
        <v>51</v>
      </c>
      <c r="H34" s="15" t="n">
        <v>0</v>
      </c>
      <c r="I34" s="17" t="n">
        <v>0.957</v>
      </c>
      <c r="J34" s="17" t="n">
        <v>0.957</v>
      </c>
      <c r="K34" s="18" t="n">
        <v>54624.52</v>
      </c>
      <c r="L34" s="18" t="n">
        <v>54282.34</v>
      </c>
      <c r="M34" s="18" t="n">
        <v>54453.43</v>
      </c>
      <c r="N34" s="18" t="n">
        <v>201373.21</v>
      </c>
      <c r="O34" s="18" t="n">
        <v>376280.24</v>
      </c>
    </row>
    <row r="35" customFormat="false" ht="15" hidden="false" customHeight="true" outlineLevel="0" collapsed="false">
      <c r="A35" s="15" t="s">
        <v>65</v>
      </c>
      <c r="B35" s="15" t="s">
        <v>66</v>
      </c>
      <c r="C35" s="16" t="n">
        <v>13.7466</v>
      </c>
      <c r="D35" s="15" t="n">
        <v>8</v>
      </c>
      <c r="E35" s="15" t="n">
        <v>10.7</v>
      </c>
      <c r="F35" s="15" t="n">
        <v>23</v>
      </c>
      <c r="G35" s="15" t="s">
        <v>52</v>
      </c>
      <c r="H35" s="15" t="n">
        <v>2.7</v>
      </c>
      <c r="I35" s="17" t="n">
        <v>0.696</v>
      </c>
      <c r="J35" s="17" t="n">
        <v>0.694</v>
      </c>
      <c r="K35" s="18" t="n">
        <v>46939.52</v>
      </c>
      <c r="L35" s="18" t="n">
        <v>47142.9</v>
      </c>
      <c r="M35" s="18" t="n">
        <v>47041.21</v>
      </c>
      <c r="N35" s="18" t="n">
        <v>180188.33</v>
      </c>
      <c r="O35" s="18" t="n">
        <v>348927.11</v>
      </c>
    </row>
    <row r="36" customFormat="false" ht="15" hidden="false" customHeight="true" outlineLevel="0" collapsed="false">
      <c r="A36" s="15" t="s">
        <v>65</v>
      </c>
      <c r="B36" s="15" t="s">
        <v>66</v>
      </c>
      <c r="C36" s="16" t="n">
        <v>13.7466</v>
      </c>
      <c r="D36" s="15" t="n">
        <v>8</v>
      </c>
      <c r="E36" s="15" t="n">
        <v>10.7</v>
      </c>
      <c r="F36" s="15" t="n">
        <v>23</v>
      </c>
      <c r="G36" s="15" t="s">
        <v>53</v>
      </c>
      <c r="H36" s="15" t="n">
        <v>8</v>
      </c>
      <c r="I36" s="17" t="n">
        <v>0.478</v>
      </c>
      <c r="J36" s="17" t="n">
        <v>0.48</v>
      </c>
      <c r="K36" s="18" t="n">
        <v>34245.11</v>
      </c>
      <c r="L36" s="18" t="n">
        <v>34593.63</v>
      </c>
      <c r="M36" s="18" t="n">
        <v>34419.37</v>
      </c>
      <c r="N36" s="18" t="n">
        <v>138317.48</v>
      </c>
      <c r="O36" s="18" t="n">
        <v>294865.05</v>
      </c>
    </row>
    <row r="37" customFormat="false" ht="15" hidden="false" customHeight="true" outlineLevel="0" collapsed="false">
      <c r="A37" s="15" t="s">
        <v>65</v>
      </c>
      <c r="B37" s="15" t="s">
        <v>66</v>
      </c>
      <c r="C37" s="16" t="n">
        <v>13.7466</v>
      </c>
      <c r="D37" s="15" t="n">
        <v>8</v>
      </c>
      <c r="E37" s="15" t="n">
        <v>10.7</v>
      </c>
      <c r="F37" s="15" t="n">
        <v>23</v>
      </c>
      <c r="G37" s="15" t="s">
        <v>54</v>
      </c>
      <c r="H37" s="15" t="n">
        <v>13.4</v>
      </c>
      <c r="I37" s="17" t="n">
        <v>0.348</v>
      </c>
      <c r="J37" s="17" t="n">
        <v>0.35</v>
      </c>
      <c r="K37" s="18" t="n">
        <v>23830.72</v>
      </c>
      <c r="L37" s="18" t="n">
        <v>23995.94</v>
      </c>
      <c r="M37" s="18" t="n">
        <v>23913.33</v>
      </c>
      <c r="N37" s="18" t="n">
        <v>96446.64</v>
      </c>
      <c r="O37" s="18" t="n">
        <v>240802.99</v>
      </c>
    </row>
    <row r="38" customFormat="false" ht="15" hidden="false" customHeight="true" outlineLevel="0" collapsed="false">
      <c r="A38" s="15" t="s">
        <v>65</v>
      </c>
      <c r="B38" s="15" t="s">
        <v>66</v>
      </c>
      <c r="C38" s="16" t="n">
        <v>13.7466</v>
      </c>
      <c r="D38" s="15" t="n">
        <v>8</v>
      </c>
      <c r="E38" s="15" t="n">
        <v>10.7</v>
      </c>
      <c r="F38" s="15" t="n">
        <v>23</v>
      </c>
      <c r="G38" s="15" t="s">
        <v>55</v>
      </c>
      <c r="H38" s="15" t="n">
        <v>18.7</v>
      </c>
      <c r="I38" s="17" t="n">
        <v>0.261</v>
      </c>
      <c r="J38" s="17" t="n">
        <v>0.262</v>
      </c>
      <c r="K38" s="18" t="n">
        <v>15181.98</v>
      </c>
      <c r="L38" s="18" t="n">
        <v>15399.41</v>
      </c>
      <c r="M38" s="18" t="n">
        <v>15290.69</v>
      </c>
      <c r="N38" s="18" t="n">
        <v>54575.79</v>
      </c>
      <c r="O38" s="18" t="n">
        <v>186740.93</v>
      </c>
    </row>
    <row r="39" customFormat="false" ht="15" hidden="false" customHeight="true" outlineLevel="0" collapsed="false">
      <c r="A39" s="15" t="s">
        <v>65</v>
      </c>
      <c r="B39" s="15" t="s">
        <v>66</v>
      </c>
      <c r="C39" s="16" t="n">
        <v>13.7466</v>
      </c>
      <c r="D39" s="15" t="n">
        <v>8</v>
      </c>
      <c r="E39" s="15" t="n">
        <v>10.7</v>
      </c>
      <c r="F39" s="15" t="n">
        <v>23</v>
      </c>
      <c r="G39" s="15" t="s">
        <v>56</v>
      </c>
      <c r="H39" s="15" t="n">
        <v>24</v>
      </c>
      <c r="I39" s="17" t="n">
        <v>0.13</v>
      </c>
      <c r="J39" s="17" t="n">
        <v>0.129</v>
      </c>
      <c r="K39" s="18" t="n">
        <v>8597.4</v>
      </c>
      <c r="L39" s="18" t="n">
        <v>8647.88</v>
      </c>
      <c r="M39" s="18" t="n">
        <v>8622.64</v>
      </c>
      <c r="N39" s="18" t="n">
        <v>39861.24</v>
      </c>
      <c r="O39" s="18" t="n">
        <v>132678.86</v>
      </c>
    </row>
    <row r="40" customFormat="false" ht="15" hidden="false" customHeight="true" outlineLevel="0" collapsed="false">
      <c r="A40" s="11" t="s">
        <v>67</v>
      </c>
      <c r="B40" s="11" t="s">
        <v>68</v>
      </c>
      <c r="C40" s="12" t="n">
        <v>13.7919</v>
      </c>
      <c r="D40" s="11" t="n">
        <v>7.2</v>
      </c>
      <c r="E40" s="11" t="n">
        <v>9.9</v>
      </c>
      <c r="F40" s="11" t="n">
        <v>23</v>
      </c>
      <c r="G40" s="11" t="s">
        <v>51</v>
      </c>
      <c r="H40" s="11" t="n">
        <v>0</v>
      </c>
      <c r="I40" s="13" t="n">
        <v>0.957</v>
      </c>
      <c r="J40" s="13" t="n">
        <v>0.957</v>
      </c>
      <c r="K40" s="14" t="n">
        <v>53192.36</v>
      </c>
      <c r="L40" s="14" t="n">
        <v>52423.76</v>
      </c>
      <c r="M40" s="14" t="n">
        <v>52808.06</v>
      </c>
      <c r="N40" s="14" t="n">
        <v>190643.55</v>
      </c>
      <c r="O40" s="14" t="n">
        <v>557273.14</v>
      </c>
    </row>
    <row r="41" customFormat="false" ht="15" hidden="false" customHeight="true" outlineLevel="0" collapsed="false">
      <c r="A41" s="11" t="s">
        <v>67</v>
      </c>
      <c r="B41" s="11" t="s">
        <v>68</v>
      </c>
      <c r="C41" s="12" t="n">
        <v>13.7919</v>
      </c>
      <c r="D41" s="11" t="n">
        <v>7.2</v>
      </c>
      <c r="E41" s="11" t="n">
        <v>9.9</v>
      </c>
      <c r="F41" s="11" t="n">
        <v>23</v>
      </c>
      <c r="G41" s="11" t="s">
        <v>52</v>
      </c>
      <c r="H41" s="11" t="n">
        <v>2.2</v>
      </c>
      <c r="I41" s="13" t="n">
        <v>0.87</v>
      </c>
      <c r="J41" s="13" t="n">
        <v>0.869</v>
      </c>
      <c r="K41" s="14" t="n">
        <v>46074.56</v>
      </c>
      <c r="L41" s="14" t="n">
        <v>45726.96</v>
      </c>
      <c r="M41" s="14" t="n">
        <v>45900.76</v>
      </c>
      <c r="N41" s="14" t="n">
        <v>161683.28</v>
      </c>
      <c r="O41" s="14" t="n">
        <v>533802</v>
      </c>
    </row>
    <row r="42" customFormat="false" ht="15" hidden="false" customHeight="true" outlineLevel="0" collapsed="false">
      <c r="A42" s="11" t="s">
        <v>67</v>
      </c>
      <c r="B42" s="11" t="s">
        <v>68</v>
      </c>
      <c r="C42" s="12" t="n">
        <v>13.7919</v>
      </c>
      <c r="D42" s="11" t="n">
        <v>7.2</v>
      </c>
      <c r="E42" s="11" t="n">
        <v>9.9</v>
      </c>
      <c r="F42" s="11" t="n">
        <v>23</v>
      </c>
      <c r="G42" s="11" t="s">
        <v>53</v>
      </c>
      <c r="H42" s="11" t="n">
        <v>7.2</v>
      </c>
      <c r="I42" s="13" t="n">
        <v>0.478</v>
      </c>
      <c r="J42" s="13" t="n">
        <v>0.478</v>
      </c>
      <c r="K42" s="14" t="n">
        <v>33164.41</v>
      </c>
      <c r="L42" s="14" t="n">
        <v>32581.97</v>
      </c>
      <c r="M42" s="14" t="n">
        <v>32873.19</v>
      </c>
      <c r="N42" s="14" t="n">
        <v>96276.07</v>
      </c>
      <c r="O42" s="14" t="n">
        <v>480792.08</v>
      </c>
    </row>
    <row r="43" customFormat="false" ht="15" hidden="false" customHeight="true" outlineLevel="0" collapsed="false">
      <c r="A43" s="11" t="s">
        <v>67</v>
      </c>
      <c r="B43" s="11" t="s">
        <v>68</v>
      </c>
      <c r="C43" s="12" t="n">
        <v>13.7919</v>
      </c>
      <c r="D43" s="11" t="n">
        <v>7.2</v>
      </c>
      <c r="E43" s="11" t="n">
        <v>9.9</v>
      </c>
      <c r="F43" s="11" t="n">
        <v>23</v>
      </c>
      <c r="G43" s="11" t="s">
        <v>54</v>
      </c>
      <c r="H43" s="11" t="n">
        <v>12.2</v>
      </c>
      <c r="I43" s="13" t="n">
        <v>0.217</v>
      </c>
      <c r="J43" s="13" t="n">
        <v>0.217</v>
      </c>
      <c r="K43" s="14" t="n">
        <v>24307.13</v>
      </c>
      <c r="L43" s="14" t="n">
        <v>24200.27</v>
      </c>
      <c r="M43" s="14" t="n">
        <v>24253.7</v>
      </c>
      <c r="N43" s="14" t="n">
        <v>43180.94</v>
      </c>
      <c r="O43" s="14" t="n">
        <v>427782.15</v>
      </c>
    </row>
    <row r="44" customFormat="false" ht="15" hidden="false" customHeight="true" outlineLevel="0" collapsed="false">
      <c r="A44" s="11" t="s">
        <v>67</v>
      </c>
      <c r="B44" s="11" t="s">
        <v>68</v>
      </c>
      <c r="C44" s="12" t="n">
        <v>13.7919</v>
      </c>
      <c r="D44" s="11" t="n">
        <v>7.2</v>
      </c>
      <c r="E44" s="11" t="n">
        <v>9.9</v>
      </c>
      <c r="F44" s="11" t="n">
        <v>23</v>
      </c>
      <c r="G44" s="11" t="s">
        <v>55</v>
      </c>
      <c r="H44" s="11" t="n">
        <v>17.1</v>
      </c>
      <c r="I44" s="13" t="n">
        <v>0.13</v>
      </c>
      <c r="J44" s="13" t="n">
        <v>0.131</v>
      </c>
      <c r="K44" s="14" t="n">
        <v>19196.24</v>
      </c>
      <c r="L44" s="14" t="n">
        <v>19005.12</v>
      </c>
      <c r="M44" s="14" t="n">
        <v>19100.68</v>
      </c>
      <c r="N44" s="14" t="n">
        <v>35473.42</v>
      </c>
      <c r="O44" s="14" t="n">
        <v>374772.23</v>
      </c>
    </row>
    <row r="45" customFormat="false" ht="15" hidden="false" customHeight="true" outlineLevel="0" collapsed="false">
      <c r="A45" s="11" t="s">
        <v>67</v>
      </c>
      <c r="B45" s="11" t="s">
        <v>68</v>
      </c>
      <c r="C45" s="12" t="n">
        <v>13.7919</v>
      </c>
      <c r="D45" s="11" t="n">
        <v>7.2</v>
      </c>
      <c r="E45" s="11" t="n">
        <v>9.9</v>
      </c>
      <c r="F45" s="11" t="n">
        <v>23</v>
      </c>
      <c r="G45" s="11" t="s">
        <v>56</v>
      </c>
      <c r="H45" s="11" t="n">
        <v>22.1</v>
      </c>
      <c r="I45" s="13" t="n">
        <v>0.087</v>
      </c>
      <c r="J45" s="13" t="n">
        <v>0.088</v>
      </c>
      <c r="K45" s="14" t="n">
        <v>16025.97</v>
      </c>
      <c r="L45" s="14" t="n">
        <v>15969.77</v>
      </c>
      <c r="M45" s="14" t="n">
        <v>15997.87</v>
      </c>
      <c r="N45" s="14" t="n">
        <v>27765.9</v>
      </c>
      <c r="O45" s="14" t="n">
        <v>321762.3</v>
      </c>
    </row>
    <row r="46" customFormat="false" ht="15" hidden="false" customHeight="true" outlineLevel="0" collapsed="false">
      <c r="A46" s="15" t="s">
        <v>69</v>
      </c>
      <c r="B46" s="15" t="s">
        <v>70</v>
      </c>
      <c r="C46" s="16" t="n">
        <v>13.6847</v>
      </c>
      <c r="D46" s="15" t="n">
        <v>27.4</v>
      </c>
      <c r="E46" s="15" t="n">
        <v>18</v>
      </c>
      <c r="F46" s="15" t="n">
        <v>23</v>
      </c>
      <c r="G46" s="15" t="s">
        <v>51</v>
      </c>
      <c r="H46" s="15" t="n">
        <v>9.4</v>
      </c>
      <c r="I46" s="17" t="n">
        <v>1</v>
      </c>
      <c r="J46" s="17" t="n">
        <v>1</v>
      </c>
      <c r="K46" s="18" t="n">
        <v>126139.98</v>
      </c>
      <c r="L46" s="18" t="n">
        <v>126783.94</v>
      </c>
      <c r="M46" s="18" t="n">
        <v>126461.96</v>
      </c>
      <c r="N46" s="18" t="n">
        <v>435105.79</v>
      </c>
      <c r="O46" s="18" t="n">
        <v>603273.37</v>
      </c>
    </row>
    <row r="47" customFormat="false" ht="15" hidden="false" customHeight="true" outlineLevel="0" collapsed="false">
      <c r="A47" s="15" t="s">
        <v>69</v>
      </c>
      <c r="B47" s="15" t="s">
        <v>70</v>
      </c>
      <c r="C47" s="16" t="n">
        <v>13.6847</v>
      </c>
      <c r="D47" s="15" t="n">
        <v>27.4</v>
      </c>
      <c r="E47" s="15" t="n">
        <v>18</v>
      </c>
      <c r="F47" s="15" t="n">
        <v>23</v>
      </c>
      <c r="G47" s="15" t="s">
        <v>52</v>
      </c>
      <c r="H47" s="15" t="n">
        <v>18.4</v>
      </c>
      <c r="I47" s="17" t="n">
        <v>0.696</v>
      </c>
      <c r="J47" s="17" t="n">
        <v>0.697</v>
      </c>
      <c r="K47" s="18" t="n">
        <v>90372.6</v>
      </c>
      <c r="L47" s="18" t="n">
        <v>90719.26</v>
      </c>
      <c r="M47" s="18" t="n">
        <v>90545.93</v>
      </c>
      <c r="N47" s="18" t="n">
        <v>299217.08</v>
      </c>
      <c r="O47" s="18" t="n">
        <v>492473.47</v>
      </c>
    </row>
    <row r="48" customFormat="false" ht="15" hidden="false" customHeight="true" outlineLevel="0" collapsed="false">
      <c r="A48" s="15" t="s">
        <v>69</v>
      </c>
      <c r="B48" s="15" t="s">
        <v>70</v>
      </c>
      <c r="C48" s="16" t="n">
        <v>13.6847</v>
      </c>
      <c r="D48" s="15" t="n">
        <v>27.4</v>
      </c>
      <c r="E48" s="15" t="n">
        <v>18</v>
      </c>
      <c r="F48" s="15" t="n">
        <v>23</v>
      </c>
      <c r="G48" s="15" t="s">
        <v>53</v>
      </c>
      <c r="H48" s="15" t="n">
        <v>27.4</v>
      </c>
      <c r="I48" s="17" t="n">
        <v>0.609</v>
      </c>
      <c r="J48" s="17" t="n">
        <v>0.609</v>
      </c>
      <c r="K48" s="18" t="n">
        <v>58924.5</v>
      </c>
      <c r="L48" s="18" t="n">
        <v>58437.9</v>
      </c>
      <c r="M48" s="18" t="n">
        <v>58681.2</v>
      </c>
      <c r="N48" s="18" t="n">
        <v>163328.37</v>
      </c>
      <c r="O48" s="18" t="n">
        <v>381673.57</v>
      </c>
    </row>
    <row r="49" customFormat="false" ht="15" hidden="false" customHeight="true" outlineLevel="0" collapsed="false">
      <c r="A49" s="15" t="s">
        <v>69</v>
      </c>
      <c r="B49" s="15" t="s">
        <v>70</v>
      </c>
      <c r="C49" s="16" t="n">
        <v>13.6847</v>
      </c>
      <c r="D49" s="15" t="n">
        <v>27.4</v>
      </c>
      <c r="E49" s="15" t="n">
        <v>18</v>
      </c>
      <c r="F49" s="15" t="n">
        <v>23</v>
      </c>
      <c r="G49" s="15" t="s">
        <v>54</v>
      </c>
      <c r="H49" s="15" t="n">
        <v>36.4</v>
      </c>
      <c r="I49" s="17" t="n">
        <v>0.348</v>
      </c>
      <c r="J49" s="17" t="n">
        <v>0.347</v>
      </c>
      <c r="K49" s="18" t="n">
        <v>33771.25</v>
      </c>
      <c r="L49" s="18" t="n">
        <v>33519.18</v>
      </c>
      <c r="M49" s="18" t="n">
        <v>33645.22</v>
      </c>
      <c r="N49" s="18" t="n">
        <v>129175.55</v>
      </c>
      <c r="O49" s="18" t="n">
        <v>270873.68</v>
      </c>
    </row>
    <row r="50" customFormat="false" ht="15" hidden="false" customHeight="true" outlineLevel="0" collapsed="false">
      <c r="A50" s="15" t="s">
        <v>69</v>
      </c>
      <c r="B50" s="15" t="s">
        <v>70</v>
      </c>
      <c r="C50" s="16" t="n">
        <v>13.6847</v>
      </c>
      <c r="D50" s="15" t="n">
        <v>27.4</v>
      </c>
      <c r="E50" s="15" t="n">
        <v>18</v>
      </c>
      <c r="F50" s="15" t="n">
        <v>23</v>
      </c>
      <c r="G50" s="15" t="s">
        <v>55</v>
      </c>
      <c r="H50" s="15" t="n">
        <v>45.4</v>
      </c>
      <c r="I50" s="17" t="n">
        <v>0.304</v>
      </c>
      <c r="J50" s="17" t="n">
        <v>0.307</v>
      </c>
      <c r="K50" s="18" t="n">
        <v>18738.86</v>
      </c>
      <c r="L50" s="18" t="n">
        <v>18676.14</v>
      </c>
      <c r="M50" s="18" t="n">
        <v>18707.5</v>
      </c>
      <c r="N50" s="18" t="n">
        <v>101995.15</v>
      </c>
      <c r="O50" s="18" t="n">
        <v>160073.78</v>
      </c>
    </row>
    <row r="51" customFormat="false" ht="15" hidden="false" customHeight="true" outlineLevel="0" collapsed="false">
      <c r="A51" s="15" t="s">
        <v>69</v>
      </c>
      <c r="B51" s="15" t="s">
        <v>70</v>
      </c>
      <c r="C51" s="16" t="n">
        <v>13.6847</v>
      </c>
      <c r="D51" s="15" t="n">
        <v>27.4</v>
      </c>
      <c r="E51" s="15" t="n">
        <v>18</v>
      </c>
      <c r="F51" s="15" t="n">
        <v>23</v>
      </c>
      <c r="G51" s="15" t="s">
        <v>56</v>
      </c>
      <c r="H51" s="15" t="n">
        <v>54.4</v>
      </c>
      <c r="I51" s="17" t="n">
        <v>0.174</v>
      </c>
      <c r="J51" s="17" t="n">
        <v>0.171</v>
      </c>
      <c r="K51" s="18" t="n">
        <v>7394.45</v>
      </c>
      <c r="L51" s="18" t="n">
        <v>7165.36</v>
      </c>
      <c r="M51" s="18" t="n">
        <v>7279.9</v>
      </c>
      <c r="N51" s="18" t="n">
        <v>49273.88</v>
      </c>
      <c r="O51" s="18" t="n">
        <v>74814.75</v>
      </c>
    </row>
    <row r="52" customFormat="false" ht="15" hidden="false" customHeight="true" outlineLevel="0" collapsed="false">
      <c r="A52" s="11" t="s">
        <v>71</v>
      </c>
      <c r="B52" s="11" t="s">
        <v>72</v>
      </c>
      <c r="C52" s="12" t="n">
        <v>13.6243</v>
      </c>
      <c r="D52" s="11" t="n">
        <v>62</v>
      </c>
      <c r="E52" s="11" t="n">
        <v>38.9</v>
      </c>
      <c r="F52" s="11" t="n">
        <v>23</v>
      </c>
      <c r="G52" s="11" t="s">
        <v>51</v>
      </c>
      <c r="H52" s="11" t="n">
        <v>23.1</v>
      </c>
      <c r="I52" s="13" t="n">
        <v>1</v>
      </c>
      <c r="J52" s="13" t="n">
        <v>1</v>
      </c>
      <c r="K52" s="14" t="n">
        <v>401572.56</v>
      </c>
      <c r="L52" s="14" t="n">
        <v>396606.43</v>
      </c>
      <c r="M52" s="14" t="n">
        <v>399089.5</v>
      </c>
      <c r="N52" s="14" t="n">
        <v>1244837.61</v>
      </c>
      <c r="O52" s="14" t="n">
        <v>1337793.66</v>
      </c>
    </row>
    <row r="53" customFormat="false" ht="15" hidden="false" customHeight="true" outlineLevel="0" collapsed="false">
      <c r="A53" s="11" t="s">
        <v>71</v>
      </c>
      <c r="B53" s="11" t="s">
        <v>72</v>
      </c>
      <c r="C53" s="12" t="n">
        <v>13.6243</v>
      </c>
      <c r="D53" s="11" t="n">
        <v>62</v>
      </c>
      <c r="E53" s="11" t="n">
        <v>38.9</v>
      </c>
      <c r="F53" s="11" t="n">
        <v>23</v>
      </c>
      <c r="G53" s="11" t="s">
        <v>52</v>
      </c>
      <c r="H53" s="11" t="n">
        <v>42.5</v>
      </c>
      <c r="I53" s="13" t="n">
        <v>0.826</v>
      </c>
      <c r="J53" s="13" t="n">
        <v>0.826</v>
      </c>
      <c r="K53" s="14" t="n">
        <v>301768.05</v>
      </c>
      <c r="L53" s="14" t="n">
        <v>302716.72</v>
      </c>
      <c r="M53" s="14" t="n">
        <v>302242.38</v>
      </c>
      <c r="N53" s="14" t="n">
        <v>962332.81</v>
      </c>
      <c r="O53" s="14" t="n">
        <v>1101499.28</v>
      </c>
    </row>
    <row r="54" customFormat="false" ht="15" hidden="false" customHeight="true" outlineLevel="0" collapsed="false">
      <c r="A54" s="11" t="s">
        <v>71</v>
      </c>
      <c r="B54" s="11" t="s">
        <v>72</v>
      </c>
      <c r="C54" s="12" t="n">
        <v>13.6243</v>
      </c>
      <c r="D54" s="11" t="n">
        <v>62</v>
      </c>
      <c r="E54" s="11" t="n">
        <v>38.9</v>
      </c>
      <c r="F54" s="11" t="n">
        <v>23</v>
      </c>
      <c r="G54" s="11" t="s">
        <v>53</v>
      </c>
      <c r="H54" s="11" t="n">
        <v>62</v>
      </c>
      <c r="I54" s="13" t="n">
        <v>0.609</v>
      </c>
      <c r="J54" s="13" t="n">
        <v>0.608</v>
      </c>
      <c r="K54" s="14" t="n">
        <v>211001.6</v>
      </c>
      <c r="L54" s="14" t="n">
        <v>210856.17</v>
      </c>
      <c r="M54" s="14" t="n">
        <v>210928.88</v>
      </c>
      <c r="N54" s="14" t="n">
        <v>809739.02</v>
      </c>
      <c r="O54" s="14" t="n">
        <v>865204.91</v>
      </c>
    </row>
    <row r="55" customFormat="false" ht="15" hidden="false" customHeight="true" outlineLevel="0" collapsed="false">
      <c r="A55" s="11" t="s">
        <v>71</v>
      </c>
      <c r="B55" s="11" t="s">
        <v>72</v>
      </c>
      <c r="C55" s="12" t="n">
        <v>13.6243</v>
      </c>
      <c r="D55" s="11" t="n">
        <v>62</v>
      </c>
      <c r="E55" s="11" t="n">
        <v>38.9</v>
      </c>
      <c r="F55" s="11" t="n">
        <v>23</v>
      </c>
      <c r="G55" s="11" t="s">
        <v>54</v>
      </c>
      <c r="H55" s="11" t="n">
        <v>81.5</v>
      </c>
      <c r="I55" s="13" t="n">
        <v>0.565</v>
      </c>
      <c r="J55" s="13" t="n">
        <v>0.568</v>
      </c>
      <c r="K55" s="14" t="n">
        <v>128465.09</v>
      </c>
      <c r="L55" s="14" t="n">
        <v>128780.69</v>
      </c>
      <c r="M55" s="14" t="n">
        <v>128622.89</v>
      </c>
      <c r="N55" s="14" t="n">
        <v>628910.53</v>
      </c>
      <c r="O55" s="14" t="n">
        <v>657145.22</v>
      </c>
    </row>
    <row r="56" customFormat="false" ht="15" hidden="false" customHeight="true" outlineLevel="0" collapsed="false">
      <c r="A56" s="11" t="s">
        <v>71</v>
      </c>
      <c r="B56" s="11" t="s">
        <v>72</v>
      </c>
      <c r="C56" s="12" t="n">
        <v>13.6243</v>
      </c>
      <c r="D56" s="11" t="n">
        <v>62</v>
      </c>
      <c r="E56" s="11" t="n">
        <v>38.9</v>
      </c>
      <c r="F56" s="11" t="n">
        <v>23</v>
      </c>
      <c r="G56" s="11" t="s">
        <v>55</v>
      </c>
      <c r="H56" s="11" t="n">
        <v>101</v>
      </c>
      <c r="I56" s="13" t="n">
        <v>0.348</v>
      </c>
      <c r="J56" s="13" t="n">
        <v>0.348</v>
      </c>
      <c r="K56" s="14" t="n">
        <v>61626.38</v>
      </c>
      <c r="L56" s="14" t="n">
        <v>61331.96</v>
      </c>
      <c r="M56" s="14" t="n">
        <v>61479.17</v>
      </c>
      <c r="N56" s="14" t="n">
        <v>392616.16</v>
      </c>
      <c r="O56" s="14" t="n">
        <v>504551.43</v>
      </c>
    </row>
    <row r="57" customFormat="false" ht="15" hidden="false" customHeight="true" outlineLevel="0" collapsed="false">
      <c r="A57" s="11" t="s">
        <v>71</v>
      </c>
      <c r="B57" s="11" t="s">
        <v>72</v>
      </c>
      <c r="C57" s="12" t="n">
        <v>13.6243</v>
      </c>
      <c r="D57" s="11" t="n">
        <v>62</v>
      </c>
      <c r="E57" s="11" t="n">
        <v>38.9</v>
      </c>
      <c r="F57" s="11" t="n">
        <v>23</v>
      </c>
      <c r="G57" s="11" t="s">
        <v>56</v>
      </c>
      <c r="H57" s="11" t="n">
        <v>120.4</v>
      </c>
      <c r="I57" s="13" t="n">
        <v>0.174</v>
      </c>
      <c r="J57" s="13" t="n">
        <v>0.173</v>
      </c>
      <c r="K57" s="14" t="n">
        <v>31065.09</v>
      </c>
      <c r="L57" s="14" t="n">
        <v>31087.7</v>
      </c>
      <c r="M57" s="14" t="n">
        <v>31076.4</v>
      </c>
      <c r="N57" s="14" t="n">
        <v>156321.79</v>
      </c>
      <c r="O57" s="14" t="n">
        <v>351957.63</v>
      </c>
    </row>
    <row r="58" customFormat="false" ht="15" hidden="false" customHeight="true" outlineLevel="0" collapsed="false">
      <c r="A58" s="15" t="s">
        <v>73</v>
      </c>
      <c r="B58" s="15" t="s">
        <v>74</v>
      </c>
      <c r="C58" s="16" t="n">
        <v>13.5507</v>
      </c>
      <c r="D58" s="15" t="n">
        <v>90.8</v>
      </c>
      <c r="E58" s="15" t="n">
        <v>42.2</v>
      </c>
      <c r="F58" s="15" t="n">
        <v>22</v>
      </c>
      <c r="G58" s="15" t="s">
        <v>51</v>
      </c>
      <c r="H58" s="15" t="n">
        <v>48.6</v>
      </c>
      <c r="I58" s="17" t="n">
        <v>0.955</v>
      </c>
      <c r="J58" s="17" t="n">
        <v>0.955</v>
      </c>
      <c r="K58" s="18" t="n">
        <v>400758.08</v>
      </c>
      <c r="L58" s="18" t="n">
        <v>401300.32</v>
      </c>
      <c r="M58" s="18" t="n">
        <v>401029.2</v>
      </c>
      <c r="N58" s="18" t="n">
        <v>971701.64</v>
      </c>
      <c r="O58" s="18" t="n">
        <v>1664477.56</v>
      </c>
    </row>
    <row r="59" customFormat="false" ht="15" hidden="false" customHeight="true" outlineLevel="0" collapsed="false">
      <c r="A59" s="15" t="s">
        <v>73</v>
      </c>
      <c r="B59" s="15" t="s">
        <v>74</v>
      </c>
      <c r="C59" s="16" t="n">
        <v>13.5507</v>
      </c>
      <c r="D59" s="15" t="n">
        <v>90.8</v>
      </c>
      <c r="E59" s="15" t="n">
        <v>42.2</v>
      </c>
      <c r="F59" s="15" t="n">
        <v>22</v>
      </c>
      <c r="G59" s="15" t="s">
        <v>52</v>
      </c>
      <c r="H59" s="15" t="n">
        <v>69.7</v>
      </c>
      <c r="I59" s="17" t="n">
        <v>0.818</v>
      </c>
      <c r="J59" s="17" t="n">
        <v>0.821</v>
      </c>
      <c r="K59" s="18" t="n">
        <v>297259.01</v>
      </c>
      <c r="L59" s="18" t="n">
        <v>295424.97</v>
      </c>
      <c r="M59" s="18" t="n">
        <v>296341.99</v>
      </c>
      <c r="N59" s="18" t="n">
        <v>734071.03</v>
      </c>
      <c r="O59" s="18" t="n">
        <v>1313715.12</v>
      </c>
    </row>
    <row r="60" customFormat="false" ht="15" hidden="false" customHeight="true" outlineLevel="0" collapsed="false">
      <c r="A60" s="15" t="s">
        <v>73</v>
      </c>
      <c r="B60" s="15" t="s">
        <v>74</v>
      </c>
      <c r="C60" s="16" t="n">
        <v>13.5507</v>
      </c>
      <c r="D60" s="15" t="n">
        <v>90.8</v>
      </c>
      <c r="E60" s="15" t="n">
        <v>42.2</v>
      </c>
      <c r="F60" s="15" t="n">
        <v>22</v>
      </c>
      <c r="G60" s="15" t="s">
        <v>53</v>
      </c>
      <c r="H60" s="15" t="n">
        <v>90.8</v>
      </c>
      <c r="I60" s="17" t="n">
        <v>0.682</v>
      </c>
      <c r="J60" s="17" t="n">
        <v>0.68</v>
      </c>
      <c r="K60" s="18" t="n">
        <v>201312.9</v>
      </c>
      <c r="L60" s="18" t="n">
        <v>201380.23</v>
      </c>
      <c r="M60" s="18" t="n">
        <v>201346.57</v>
      </c>
      <c r="N60" s="18" t="n">
        <v>496440.42</v>
      </c>
      <c r="O60" s="18" t="n">
        <v>962952.67</v>
      </c>
    </row>
    <row r="61" customFormat="false" ht="15" hidden="false" customHeight="true" outlineLevel="0" collapsed="false">
      <c r="A61" s="15" t="s">
        <v>73</v>
      </c>
      <c r="B61" s="15" t="s">
        <v>74</v>
      </c>
      <c r="C61" s="16" t="n">
        <v>13.5507</v>
      </c>
      <c r="D61" s="15" t="n">
        <v>90.8</v>
      </c>
      <c r="E61" s="15" t="n">
        <v>42.2</v>
      </c>
      <c r="F61" s="15" t="n">
        <v>22</v>
      </c>
      <c r="G61" s="15" t="s">
        <v>54</v>
      </c>
      <c r="H61" s="15" t="n">
        <v>111.9</v>
      </c>
      <c r="I61" s="17" t="n">
        <v>0.455</v>
      </c>
      <c r="J61" s="17" t="n">
        <v>0.453</v>
      </c>
      <c r="K61" s="18" t="n">
        <v>121348.63</v>
      </c>
      <c r="L61" s="18" t="n">
        <v>121845.39</v>
      </c>
      <c r="M61" s="18" t="n">
        <v>121597.01</v>
      </c>
      <c r="N61" s="18" t="n">
        <v>333729.94</v>
      </c>
      <c r="O61" s="18" t="n">
        <v>612190.23</v>
      </c>
    </row>
    <row r="62" customFormat="false" ht="15" hidden="false" customHeight="true" outlineLevel="0" collapsed="false">
      <c r="A62" s="15" t="s">
        <v>73</v>
      </c>
      <c r="B62" s="15" t="s">
        <v>74</v>
      </c>
      <c r="C62" s="16" t="n">
        <v>13.5507</v>
      </c>
      <c r="D62" s="15" t="n">
        <v>90.8</v>
      </c>
      <c r="E62" s="15" t="n">
        <v>42.2</v>
      </c>
      <c r="F62" s="15" t="n">
        <v>22</v>
      </c>
      <c r="G62" s="15" t="s">
        <v>55</v>
      </c>
      <c r="H62" s="15" t="n">
        <v>133</v>
      </c>
      <c r="I62" s="17" t="n">
        <v>0.318</v>
      </c>
      <c r="J62" s="17" t="n">
        <v>0.318</v>
      </c>
      <c r="K62" s="18" t="n">
        <v>47859.11</v>
      </c>
      <c r="L62" s="18" t="n">
        <v>47801.06</v>
      </c>
      <c r="M62" s="18" t="n">
        <v>47830.08</v>
      </c>
      <c r="N62" s="18" t="n">
        <v>209141.03</v>
      </c>
      <c r="O62" s="18" t="n">
        <v>261427.79</v>
      </c>
    </row>
    <row r="63" customFormat="false" ht="15" hidden="false" customHeight="true" outlineLevel="0" collapsed="false">
      <c r="A63" s="15" t="s">
        <v>73</v>
      </c>
      <c r="B63" s="15" t="s">
        <v>74</v>
      </c>
      <c r="C63" s="16" t="n">
        <v>13.5507</v>
      </c>
      <c r="D63" s="15" t="n">
        <v>90.8</v>
      </c>
      <c r="E63" s="15" t="n">
        <v>42.2</v>
      </c>
      <c r="F63" s="15" t="n">
        <v>22</v>
      </c>
      <c r="G63" s="15" t="s">
        <v>56</v>
      </c>
      <c r="H63" s="15" t="n">
        <v>154.1</v>
      </c>
      <c r="I63" s="17" t="n">
        <v>0.091</v>
      </c>
      <c r="J63" s="17" t="n">
        <v>0.091</v>
      </c>
      <c r="K63" s="18" t="n">
        <v>5066.48</v>
      </c>
      <c r="L63" s="18" t="n">
        <v>5100.02</v>
      </c>
      <c r="M63" s="18" t="n">
        <v>5083.25</v>
      </c>
      <c r="N63" s="18" t="n">
        <v>11042.08</v>
      </c>
      <c r="O63" s="18" t="n">
        <v>84552.11</v>
      </c>
    </row>
    <row r="64" customFormat="false" ht="15" hidden="false" customHeight="true" outlineLevel="0" collapsed="false">
      <c r="A64" s="11" t="s">
        <v>75</v>
      </c>
      <c r="B64" s="11" t="s">
        <v>76</v>
      </c>
      <c r="C64" s="12" t="n">
        <v>13.5378</v>
      </c>
      <c r="D64" s="11" t="n">
        <v>98.5</v>
      </c>
      <c r="E64" s="11" t="n">
        <v>27.6</v>
      </c>
      <c r="F64" s="11" t="n">
        <v>22</v>
      </c>
      <c r="G64" s="11" t="s">
        <v>51</v>
      </c>
      <c r="H64" s="11" t="n">
        <v>70.9</v>
      </c>
      <c r="I64" s="13" t="n">
        <v>0.909</v>
      </c>
      <c r="J64" s="13" t="n">
        <v>0.908</v>
      </c>
      <c r="K64" s="14" t="n">
        <v>167172.89</v>
      </c>
      <c r="L64" s="14" t="n">
        <v>167196.56</v>
      </c>
      <c r="M64" s="14" t="n">
        <v>167184.73</v>
      </c>
      <c r="N64" s="14" t="n">
        <v>501663.76</v>
      </c>
      <c r="O64" s="14" t="n">
        <v>829655.66</v>
      </c>
    </row>
    <row r="65" customFormat="false" ht="15" hidden="false" customHeight="true" outlineLevel="0" collapsed="false">
      <c r="A65" s="11" t="s">
        <v>75</v>
      </c>
      <c r="B65" s="11" t="s">
        <v>76</v>
      </c>
      <c r="C65" s="12" t="n">
        <v>13.5378</v>
      </c>
      <c r="D65" s="11" t="n">
        <v>98.5</v>
      </c>
      <c r="E65" s="11" t="n">
        <v>27.6</v>
      </c>
      <c r="F65" s="11" t="n">
        <v>22</v>
      </c>
      <c r="G65" s="11" t="s">
        <v>52</v>
      </c>
      <c r="H65" s="11" t="n">
        <v>84.7</v>
      </c>
      <c r="I65" s="13" t="n">
        <v>0.773</v>
      </c>
      <c r="J65" s="13" t="n">
        <v>0.774</v>
      </c>
      <c r="K65" s="14" t="n">
        <v>109789.77</v>
      </c>
      <c r="L65" s="14" t="n">
        <v>109403.34</v>
      </c>
      <c r="M65" s="14" t="n">
        <v>109596.55</v>
      </c>
      <c r="N65" s="14" t="n">
        <v>344598.84</v>
      </c>
      <c r="O65" s="14" t="n">
        <v>605839.31</v>
      </c>
    </row>
    <row r="66" customFormat="false" ht="15" hidden="false" customHeight="true" outlineLevel="0" collapsed="false">
      <c r="A66" s="11" t="s">
        <v>75</v>
      </c>
      <c r="B66" s="11" t="s">
        <v>76</v>
      </c>
      <c r="C66" s="12" t="n">
        <v>13.5378</v>
      </c>
      <c r="D66" s="11" t="n">
        <v>98.5</v>
      </c>
      <c r="E66" s="11" t="n">
        <v>27.6</v>
      </c>
      <c r="F66" s="11" t="n">
        <v>22</v>
      </c>
      <c r="G66" s="11" t="s">
        <v>53</v>
      </c>
      <c r="H66" s="11" t="n">
        <v>98.5</v>
      </c>
      <c r="I66" s="13" t="n">
        <v>0.591</v>
      </c>
      <c r="J66" s="13" t="n">
        <v>0.589</v>
      </c>
      <c r="K66" s="14" t="n">
        <v>61579.48</v>
      </c>
      <c r="L66" s="14" t="n">
        <v>61921.96</v>
      </c>
      <c r="M66" s="14" t="n">
        <v>61750.72</v>
      </c>
      <c r="N66" s="14" t="n">
        <v>187533.91</v>
      </c>
      <c r="O66" s="14" t="n">
        <v>382022.95</v>
      </c>
    </row>
    <row r="67" customFormat="false" ht="15" hidden="false" customHeight="true" outlineLevel="0" collapsed="false">
      <c r="A67" s="11" t="s">
        <v>75</v>
      </c>
      <c r="B67" s="11" t="s">
        <v>76</v>
      </c>
      <c r="C67" s="12" t="n">
        <v>13.5378</v>
      </c>
      <c r="D67" s="11" t="n">
        <v>98.5</v>
      </c>
      <c r="E67" s="11" t="n">
        <v>27.6</v>
      </c>
      <c r="F67" s="11" t="n">
        <v>22</v>
      </c>
      <c r="G67" s="11" t="s">
        <v>54</v>
      </c>
      <c r="H67" s="11" t="n">
        <v>112.4</v>
      </c>
      <c r="I67" s="13" t="n">
        <v>0.364</v>
      </c>
      <c r="J67" s="13" t="n">
        <v>0.367</v>
      </c>
      <c r="K67" s="14" t="n">
        <v>26389.67</v>
      </c>
      <c r="L67" s="14" t="n">
        <v>26584.53</v>
      </c>
      <c r="M67" s="14" t="n">
        <v>26487.1</v>
      </c>
      <c r="N67" s="14" t="n">
        <v>114971.29</v>
      </c>
      <c r="O67" s="14" t="n">
        <v>158206.6</v>
      </c>
    </row>
    <row r="68" customFormat="false" ht="15" hidden="false" customHeight="true" outlineLevel="0" collapsed="false">
      <c r="A68" s="11" t="s">
        <v>75</v>
      </c>
      <c r="B68" s="11" t="s">
        <v>76</v>
      </c>
      <c r="C68" s="12" t="n">
        <v>13.5378</v>
      </c>
      <c r="D68" s="11" t="n">
        <v>98.5</v>
      </c>
      <c r="E68" s="11" t="n">
        <v>27.6</v>
      </c>
      <c r="F68" s="11" t="n">
        <v>22</v>
      </c>
      <c r="G68" s="11" t="s">
        <v>55</v>
      </c>
      <c r="H68" s="11" t="n">
        <v>126.2</v>
      </c>
      <c r="I68" s="13" t="n">
        <v>0.136</v>
      </c>
      <c r="J68" s="13" t="n">
        <v>0.138</v>
      </c>
      <c r="K68" s="14" t="n">
        <v>6148.32</v>
      </c>
      <c r="L68" s="14" t="n">
        <v>6295.47</v>
      </c>
      <c r="M68" s="14" t="n">
        <v>6221.9</v>
      </c>
      <c r="N68" s="14" t="n">
        <v>18614.54</v>
      </c>
      <c r="O68" s="14" t="n">
        <v>90054.69</v>
      </c>
    </row>
    <row r="69" customFormat="false" ht="15" hidden="false" customHeight="true" outlineLevel="0" collapsed="false">
      <c r="A69" s="11" t="s">
        <v>75</v>
      </c>
      <c r="B69" s="11" t="s">
        <v>76</v>
      </c>
      <c r="C69" s="12" t="n">
        <v>13.5378</v>
      </c>
      <c r="D69" s="11" t="n">
        <v>98.5</v>
      </c>
      <c r="E69" s="11" t="n">
        <v>27.6</v>
      </c>
      <c r="F69" s="11" t="n">
        <v>22</v>
      </c>
      <c r="G69" s="11" t="s">
        <v>56</v>
      </c>
      <c r="H69" s="11" t="n">
        <v>140</v>
      </c>
      <c r="I69" s="13" t="n">
        <v>0.091</v>
      </c>
      <c r="J69" s="13" t="n">
        <v>0.091</v>
      </c>
      <c r="K69" s="14" t="n">
        <v>3614.86</v>
      </c>
      <c r="L69" s="14" t="n">
        <v>3608.58</v>
      </c>
      <c r="M69" s="14" t="n">
        <v>3611.72</v>
      </c>
      <c r="N69" s="14" t="n">
        <v>3755.83</v>
      </c>
      <c r="O69" s="14" t="n">
        <v>65138.09</v>
      </c>
    </row>
    <row r="70" customFormat="false" ht="15" hidden="false" customHeight="true" outlineLevel="0" collapsed="false">
      <c r="A70" s="15" t="s">
        <v>77</v>
      </c>
      <c r="B70" s="15" t="s">
        <v>78</v>
      </c>
      <c r="C70" s="16" t="n">
        <v>13.5406</v>
      </c>
      <c r="D70" s="15" t="n">
        <v>127</v>
      </c>
      <c r="E70" s="15" t="n">
        <v>33.1</v>
      </c>
      <c r="F70" s="15" t="n">
        <v>22</v>
      </c>
      <c r="G70" s="15" t="s">
        <v>51</v>
      </c>
      <c r="H70" s="15" t="n">
        <v>93.9</v>
      </c>
      <c r="I70" s="17" t="n">
        <v>0.864</v>
      </c>
      <c r="J70" s="17" t="n">
        <v>0.861</v>
      </c>
      <c r="K70" s="18" t="n">
        <v>185088.98</v>
      </c>
      <c r="L70" s="18" t="n">
        <v>185992.7</v>
      </c>
      <c r="M70" s="18" t="n">
        <v>185540.84</v>
      </c>
      <c r="N70" s="18" t="n">
        <v>480265.85</v>
      </c>
      <c r="O70" s="18" t="n">
        <v>802787.03</v>
      </c>
    </row>
    <row r="71" customFormat="false" ht="15" hidden="false" customHeight="true" outlineLevel="0" collapsed="false">
      <c r="A71" s="15" t="s">
        <v>77</v>
      </c>
      <c r="B71" s="15" t="s">
        <v>78</v>
      </c>
      <c r="C71" s="16" t="n">
        <v>13.5406</v>
      </c>
      <c r="D71" s="15" t="n">
        <v>127</v>
      </c>
      <c r="E71" s="15" t="n">
        <v>33.1</v>
      </c>
      <c r="F71" s="15" t="n">
        <v>22</v>
      </c>
      <c r="G71" s="15" t="s">
        <v>52</v>
      </c>
      <c r="H71" s="15" t="n">
        <v>110.4</v>
      </c>
      <c r="I71" s="17" t="n">
        <v>0.818</v>
      </c>
      <c r="J71" s="17" t="n">
        <v>0.817</v>
      </c>
      <c r="K71" s="18" t="n">
        <v>134212.09</v>
      </c>
      <c r="L71" s="18" t="n">
        <v>135148.06</v>
      </c>
      <c r="M71" s="18" t="n">
        <v>134680.08</v>
      </c>
      <c r="N71" s="18" t="n">
        <v>386314.23</v>
      </c>
      <c r="O71" s="18" t="n">
        <v>594821.87</v>
      </c>
    </row>
    <row r="72" customFormat="false" ht="15" hidden="false" customHeight="true" outlineLevel="0" collapsed="false">
      <c r="A72" s="15" t="s">
        <v>77</v>
      </c>
      <c r="B72" s="15" t="s">
        <v>78</v>
      </c>
      <c r="C72" s="16" t="n">
        <v>13.5406</v>
      </c>
      <c r="D72" s="15" t="n">
        <v>127</v>
      </c>
      <c r="E72" s="15" t="n">
        <v>33.1</v>
      </c>
      <c r="F72" s="15" t="n">
        <v>22</v>
      </c>
      <c r="G72" s="15" t="s">
        <v>53</v>
      </c>
      <c r="H72" s="15" t="n">
        <v>127</v>
      </c>
      <c r="I72" s="17" t="n">
        <v>0.682</v>
      </c>
      <c r="J72" s="17" t="n">
        <v>0.682</v>
      </c>
      <c r="K72" s="18" t="n">
        <v>84867.65</v>
      </c>
      <c r="L72" s="18" t="n">
        <v>85556.12</v>
      </c>
      <c r="M72" s="18" t="n">
        <v>85211.89</v>
      </c>
      <c r="N72" s="18" t="n">
        <v>292362.61</v>
      </c>
      <c r="O72" s="18" t="n">
        <v>386856.7</v>
      </c>
    </row>
    <row r="73" customFormat="false" ht="15" hidden="false" customHeight="true" outlineLevel="0" collapsed="false">
      <c r="A73" s="15" t="s">
        <v>77</v>
      </c>
      <c r="B73" s="15" t="s">
        <v>78</v>
      </c>
      <c r="C73" s="16" t="n">
        <v>13.5406</v>
      </c>
      <c r="D73" s="15" t="n">
        <v>127</v>
      </c>
      <c r="E73" s="15" t="n">
        <v>33.1</v>
      </c>
      <c r="F73" s="15" t="n">
        <v>22</v>
      </c>
      <c r="G73" s="15" t="s">
        <v>54</v>
      </c>
      <c r="H73" s="15" t="n">
        <v>143.5</v>
      </c>
      <c r="I73" s="17" t="n">
        <v>0.455</v>
      </c>
      <c r="J73" s="17" t="n">
        <v>0.458</v>
      </c>
      <c r="K73" s="18" t="n">
        <v>40586.92</v>
      </c>
      <c r="L73" s="18" t="n">
        <v>40522.44</v>
      </c>
      <c r="M73" s="18" t="n">
        <v>40554.68</v>
      </c>
      <c r="N73" s="18" t="n">
        <v>178891.53</v>
      </c>
      <c r="O73" s="18" t="n">
        <v>198410.99</v>
      </c>
    </row>
    <row r="74" customFormat="false" ht="15" hidden="false" customHeight="true" outlineLevel="0" collapsed="false">
      <c r="A74" s="15" t="s">
        <v>77</v>
      </c>
      <c r="B74" s="15" t="s">
        <v>78</v>
      </c>
      <c r="C74" s="16" t="n">
        <v>13.5406</v>
      </c>
      <c r="D74" s="15" t="n">
        <v>127</v>
      </c>
      <c r="E74" s="15" t="n">
        <v>33.1</v>
      </c>
      <c r="F74" s="15" t="n">
        <v>22</v>
      </c>
      <c r="G74" s="15" t="s">
        <v>55</v>
      </c>
      <c r="H74" s="15" t="n">
        <v>160.1</v>
      </c>
      <c r="I74" s="17" t="n">
        <v>0.182</v>
      </c>
      <c r="J74" s="17" t="n">
        <v>0.181</v>
      </c>
      <c r="K74" s="18" t="n">
        <v>12606.99</v>
      </c>
      <c r="L74" s="18" t="n">
        <v>12467.93</v>
      </c>
      <c r="M74" s="18" t="n">
        <v>12537.46</v>
      </c>
      <c r="N74" s="18" t="n">
        <v>98993.48</v>
      </c>
      <c r="O74" s="18" t="n">
        <v>104459.37</v>
      </c>
    </row>
    <row r="75" customFormat="false" ht="15" hidden="false" customHeight="true" outlineLevel="0" collapsed="false">
      <c r="A75" s="15" t="s">
        <v>77</v>
      </c>
      <c r="B75" s="15" t="s">
        <v>78</v>
      </c>
      <c r="C75" s="16" t="n">
        <v>13.5406</v>
      </c>
      <c r="D75" s="15" t="n">
        <v>127</v>
      </c>
      <c r="E75" s="15" t="n">
        <v>33.1</v>
      </c>
      <c r="F75" s="15" t="n">
        <v>22</v>
      </c>
      <c r="G75" s="15" t="s">
        <v>56</v>
      </c>
      <c r="H75" s="15" t="n">
        <v>176.7</v>
      </c>
      <c r="I75" s="17" t="n">
        <v>0.091</v>
      </c>
      <c r="J75" s="17" t="n">
        <v>0.089</v>
      </c>
      <c r="K75" s="18" t="n">
        <v>4368.02</v>
      </c>
      <c r="L75" s="18" t="n">
        <v>4261.39</v>
      </c>
      <c r="M75" s="18" t="n">
        <v>4314.7</v>
      </c>
      <c r="N75" s="18" t="n">
        <v>10507.75</v>
      </c>
      <c r="O75" s="18" t="n">
        <v>73711.55</v>
      </c>
    </row>
  </sheetData>
  <mergeCells count="1">
    <mergeCell ref="A1:M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3" min="1" style="1" width="11"/>
  </cols>
  <sheetData>
    <row r="1" customFormat="false" ht="25.5" hidden="false" customHeight="true" outlineLevel="0" collapsed="false">
      <c r="A1" s="19" t="s">
        <v>79</v>
      </c>
      <c r="B1" s="19"/>
      <c r="C1" s="19"/>
      <c r="D1" s="19"/>
      <c r="E1" s="19"/>
      <c r="F1" s="19"/>
      <c r="G1" s="19"/>
      <c r="H1" s="19"/>
    </row>
    <row r="3" customFormat="false" ht="15" hidden="false" customHeight="true" outlineLevel="0" collapsed="false">
      <c r="A3" s="20" t="s">
        <v>80</v>
      </c>
    </row>
    <row r="4" customFormat="false" ht="15" hidden="false" customHeight="true" outlineLevel="0" collapsed="false">
      <c r="A4" s="21" t="s">
        <v>49</v>
      </c>
      <c r="B4" s="21" t="s">
        <v>57</v>
      </c>
      <c r="C4" s="21" t="s">
        <v>59</v>
      </c>
      <c r="D4" s="21" t="s">
        <v>61</v>
      </c>
      <c r="E4" s="21" t="s">
        <v>63</v>
      </c>
      <c r="F4" s="21" t="s">
        <v>65</v>
      </c>
      <c r="G4" s="21" t="s">
        <v>67</v>
      </c>
      <c r="H4" s="21" t="s">
        <v>69</v>
      </c>
      <c r="I4" s="21" t="s">
        <v>71</v>
      </c>
      <c r="J4" s="21" t="s">
        <v>73</v>
      </c>
      <c r="K4" s="21" t="s">
        <v>75</v>
      </c>
      <c r="L4" s="21" t="s">
        <v>77</v>
      </c>
    </row>
    <row r="5" customFormat="false" ht="15" hidden="false" customHeight="true" outlineLevel="0" collapsed="false">
      <c r="A5" s="1" t="n">
        <v>137.2</v>
      </c>
      <c r="B5" s="1" t="n">
        <v>125.2</v>
      </c>
      <c r="C5" s="1" t="n">
        <v>115.9</v>
      </c>
      <c r="D5" s="1" t="n">
        <v>69</v>
      </c>
      <c r="E5" s="1" t="n">
        <v>21.8</v>
      </c>
      <c r="F5" s="1" t="n">
        <v>8</v>
      </c>
      <c r="G5" s="1" t="n">
        <v>7.2</v>
      </c>
      <c r="H5" s="1" t="n">
        <v>27.4</v>
      </c>
      <c r="I5" s="1" t="n">
        <v>62</v>
      </c>
      <c r="J5" s="1" t="n">
        <v>90.8</v>
      </c>
      <c r="K5" s="1" t="n">
        <v>98.5</v>
      </c>
      <c r="L5" s="1" t="n">
        <v>127</v>
      </c>
    </row>
    <row r="24" customFormat="false" ht="15" hidden="false" customHeight="true" outlineLevel="0" collapsed="false">
      <c r="A24" s="20" t="s">
        <v>81</v>
      </c>
    </row>
    <row r="25" customFormat="false" ht="15" hidden="false" customHeight="true" outlineLevel="0" collapsed="false">
      <c r="A25" s="21" t="s">
        <v>49</v>
      </c>
      <c r="B25" s="21" t="s">
        <v>57</v>
      </c>
      <c r="C25" s="21" t="s">
        <v>59</v>
      </c>
      <c r="D25" s="21" t="s">
        <v>61</v>
      </c>
      <c r="E25" s="21" t="s">
        <v>63</v>
      </c>
      <c r="F25" s="21" t="s">
        <v>65</v>
      </c>
      <c r="G25" s="21" t="s">
        <v>67</v>
      </c>
      <c r="H25" s="21" t="s">
        <v>69</v>
      </c>
      <c r="I25" s="21" t="s">
        <v>71</v>
      </c>
      <c r="J25" s="21" t="s">
        <v>73</v>
      </c>
      <c r="K25" s="21" t="s">
        <v>75</v>
      </c>
      <c r="L25" s="21" t="s">
        <v>77</v>
      </c>
    </row>
    <row r="26" customFormat="false" ht="15" hidden="false" customHeight="true" outlineLevel="0" collapsed="false">
      <c r="A26" s="1" t="n">
        <v>146258</v>
      </c>
      <c r="B26" s="1" t="n">
        <v>157306</v>
      </c>
      <c r="C26" s="1" t="n">
        <v>163724</v>
      </c>
      <c r="D26" s="1" t="n">
        <v>127380</v>
      </c>
      <c r="E26" s="1" t="n">
        <v>116261</v>
      </c>
      <c r="F26" s="1" t="n">
        <v>54433</v>
      </c>
      <c r="G26" s="1" t="n">
        <v>52798</v>
      </c>
      <c r="H26" s="1" t="n">
        <v>126395</v>
      </c>
      <c r="I26" s="1" t="n">
        <v>398858</v>
      </c>
      <c r="J26" s="1" t="n">
        <v>400757</v>
      </c>
      <c r="K26" s="1" t="n">
        <v>167061</v>
      </c>
      <c r="L26" s="1" t="n">
        <v>185397</v>
      </c>
      <c r="M26" s="21" t="s">
        <v>51</v>
      </c>
    </row>
    <row r="27" customFormat="false" ht="15" hidden="false" customHeight="true" outlineLevel="0" collapsed="false">
      <c r="A27" s="1" t="n">
        <v>111620</v>
      </c>
      <c r="B27" s="1" t="n">
        <v>117556</v>
      </c>
      <c r="C27" s="1" t="n">
        <v>116705</v>
      </c>
      <c r="D27" s="1" t="n">
        <v>87416</v>
      </c>
      <c r="E27" s="1" t="n">
        <v>77922</v>
      </c>
      <c r="F27" s="1" t="n">
        <v>47024</v>
      </c>
      <c r="G27" s="1" t="n">
        <v>45892</v>
      </c>
      <c r="H27" s="1" t="n">
        <v>90498</v>
      </c>
      <c r="I27" s="1" t="n">
        <v>302067</v>
      </c>
      <c r="J27" s="1" t="n">
        <v>296141</v>
      </c>
      <c r="K27" s="1" t="n">
        <v>109516</v>
      </c>
      <c r="L27" s="1" t="n">
        <v>134576</v>
      </c>
      <c r="M27" s="21" t="s">
        <v>52</v>
      </c>
    </row>
    <row r="28" customFormat="false" ht="15" hidden="false" customHeight="true" outlineLevel="0" collapsed="false">
      <c r="A28" s="1" t="n">
        <v>79557</v>
      </c>
      <c r="B28" s="1" t="n">
        <v>84038</v>
      </c>
      <c r="C28" s="1" t="n">
        <v>80267</v>
      </c>
      <c r="D28" s="1" t="n">
        <v>55360</v>
      </c>
      <c r="E28" s="1" t="n">
        <v>47903</v>
      </c>
      <c r="F28" s="1" t="n">
        <v>34407</v>
      </c>
      <c r="G28" s="1" t="n">
        <v>32867</v>
      </c>
      <c r="H28" s="1" t="n">
        <v>58650</v>
      </c>
      <c r="I28" s="1" t="n">
        <v>210806</v>
      </c>
      <c r="J28" s="1" t="n">
        <v>201210</v>
      </c>
      <c r="K28" s="1" t="n">
        <v>61705</v>
      </c>
      <c r="L28" s="1" t="n">
        <v>85146</v>
      </c>
      <c r="M28" s="21" t="s">
        <v>53</v>
      </c>
    </row>
    <row r="29" customFormat="false" ht="15" hidden="false" customHeight="true" outlineLevel="0" collapsed="false">
      <c r="A29" s="1" t="n">
        <v>55956</v>
      </c>
      <c r="B29" s="1" t="n">
        <v>64203</v>
      </c>
      <c r="C29" s="1" t="n">
        <v>53652</v>
      </c>
      <c r="D29" s="1" t="n">
        <v>29043</v>
      </c>
      <c r="E29" s="1" t="n">
        <v>29374</v>
      </c>
      <c r="F29" s="1" t="n">
        <v>23904</v>
      </c>
      <c r="G29" s="1" t="n">
        <v>24249</v>
      </c>
      <c r="H29" s="1" t="n">
        <v>33627</v>
      </c>
      <c r="I29" s="1" t="n">
        <v>128548</v>
      </c>
      <c r="J29" s="1" t="n">
        <v>121515</v>
      </c>
      <c r="K29" s="1" t="n">
        <v>26468</v>
      </c>
      <c r="L29" s="1" t="n">
        <v>40523</v>
      </c>
      <c r="M29" s="21" t="s">
        <v>54</v>
      </c>
    </row>
    <row r="30" customFormat="false" ht="15" hidden="false" customHeight="true" outlineLevel="0" collapsed="false">
      <c r="A30" s="1" t="n">
        <v>36413</v>
      </c>
      <c r="B30" s="1" t="n">
        <v>49416</v>
      </c>
      <c r="C30" s="1" t="n">
        <v>32035</v>
      </c>
      <c r="D30" s="1" t="n">
        <v>6573</v>
      </c>
      <c r="E30" s="1" t="n">
        <v>14560</v>
      </c>
      <c r="F30" s="1" t="n">
        <v>15285</v>
      </c>
      <c r="G30" s="1" t="n">
        <v>19097</v>
      </c>
      <c r="H30" s="1" t="n">
        <v>18698</v>
      </c>
      <c r="I30" s="1" t="n">
        <v>61443</v>
      </c>
      <c r="J30" s="1" t="n">
        <v>47798</v>
      </c>
      <c r="K30" s="1" t="n">
        <v>6217</v>
      </c>
      <c r="L30" s="1" t="n">
        <v>12528</v>
      </c>
      <c r="M30" s="21" t="s">
        <v>55</v>
      </c>
    </row>
    <row r="31" customFormat="false" ht="15" hidden="false" customHeight="true" outlineLevel="0" collapsed="false">
      <c r="A31" s="1" t="n">
        <v>16413</v>
      </c>
      <c r="B31" s="1" t="n">
        <v>38602</v>
      </c>
      <c r="C31" s="1" t="n">
        <v>17015</v>
      </c>
      <c r="D31" s="1" t="n">
        <v>3626</v>
      </c>
      <c r="E31" s="1" t="n">
        <v>6534</v>
      </c>
      <c r="F31" s="1" t="n">
        <v>8619</v>
      </c>
      <c r="G31" s="1" t="n">
        <v>15995</v>
      </c>
      <c r="H31" s="1" t="n">
        <v>7276</v>
      </c>
      <c r="I31" s="1" t="n">
        <v>31058</v>
      </c>
      <c r="J31" s="1" t="n">
        <v>5080</v>
      </c>
      <c r="K31" s="1" t="n">
        <v>3609</v>
      </c>
      <c r="L31" s="1" t="n">
        <v>4311</v>
      </c>
      <c r="M31" s="21" t="s">
        <v>56</v>
      </c>
    </row>
  </sheetData>
  <mergeCells count="1">
    <mergeCell ref="A1:H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6" min="3" style="1" width="13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25.5" hidden="false" customHeight="true" outlineLevel="0" collapsed="false">
      <c r="A1" s="9" t="s">
        <v>82</v>
      </c>
      <c r="B1" s="9"/>
      <c r="C1" s="9"/>
      <c r="D1" s="9"/>
      <c r="E1" s="9"/>
      <c r="F1" s="9"/>
      <c r="G1" s="9"/>
      <c r="H1" s="9"/>
    </row>
    <row r="3" customFormat="false" ht="13.5" hidden="false" customHeight="true" outlineLevel="0" collapsed="false">
      <c r="A3" s="22" t="s">
        <v>83</v>
      </c>
      <c r="B3" s="22"/>
      <c r="C3" s="22"/>
      <c r="D3" s="22"/>
      <c r="E3" s="22"/>
      <c r="F3" s="22"/>
      <c r="G3" s="22"/>
      <c r="H3" s="22"/>
    </row>
    <row r="4" customFormat="false" ht="13.5" hidden="false" customHeight="true" outlineLevel="0" collapsed="false">
      <c r="A4" s="22" t="s">
        <v>84</v>
      </c>
      <c r="B4" s="22"/>
      <c r="C4" s="22"/>
      <c r="D4" s="22"/>
      <c r="E4" s="22"/>
      <c r="F4" s="22"/>
      <c r="G4" s="22"/>
      <c r="H4" s="22"/>
    </row>
    <row r="5" customFormat="false" ht="13.5" hidden="false" customHeight="true" outlineLevel="0" collapsed="false">
      <c r="A5" s="22" t="s">
        <v>85</v>
      </c>
      <c r="B5" s="22"/>
      <c r="C5" s="22"/>
      <c r="D5" s="22"/>
      <c r="E5" s="22"/>
      <c r="F5" s="22"/>
      <c r="G5" s="22"/>
      <c r="H5" s="22"/>
    </row>
    <row r="8" customFormat="false" ht="19.5" hidden="false" customHeight="true" outlineLevel="0" collapsed="false">
      <c r="A8" s="23" t="s">
        <v>86</v>
      </c>
      <c r="B8" s="23"/>
      <c r="C8" s="23"/>
      <c r="D8" s="23"/>
      <c r="E8" s="23"/>
      <c r="F8" s="23"/>
      <c r="G8" s="23"/>
      <c r="H8" s="23"/>
    </row>
    <row r="9" customFormat="false" ht="15" hidden="false" customHeight="true" outlineLevel="0" collapsed="false">
      <c r="A9" s="24" t="s">
        <v>40</v>
      </c>
      <c r="B9" s="24" t="s">
        <v>87</v>
      </c>
      <c r="C9" s="24" t="s">
        <v>88</v>
      </c>
      <c r="D9" s="24" t="s">
        <v>89</v>
      </c>
      <c r="E9" s="24" t="s">
        <v>90</v>
      </c>
      <c r="F9" s="24" t="s">
        <v>91</v>
      </c>
      <c r="G9" s="24" t="s">
        <v>92</v>
      </c>
      <c r="H9" s="24" t="s">
        <v>93</v>
      </c>
      <c r="I9" s="24" t="s">
        <v>94</v>
      </c>
    </row>
    <row r="10" customFormat="false" ht="15" hidden="false" customHeight="true" outlineLevel="0" collapsed="false">
      <c r="A10" s="25" t="s">
        <v>52</v>
      </c>
      <c r="B10" s="26" t="n">
        <v>273</v>
      </c>
      <c r="C10" s="26" t="n">
        <v>63</v>
      </c>
      <c r="D10" s="26" t="n">
        <v>150</v>
      </c>
      <c r="E10" s="26" t="n">
        <v>6</v>
      </c>
      <c r="F10" s="26" t="n">
        <v>54</v>
      </c>
      <c r="G10" s="27" t="n">
        <v>0.913</v>
      </c>
      <c r="H10" s="27" t="n">
        <v>0.296</v>
      </c>
      <c r="I10" s="27" t="n">
        <v>0.087</v>
      </c>
    </row>
    <row r="11" customFormat="false" ht="15" hidden="false" customHeight="true" outlineLevel="0" collapsed="false">
      <c r="A11" s="15" t="s">
        <v>53</v>
      </c>
      <c r="B11" s="26" t="n">
        <v>273</v>
      </c>
      <c r="C11" s="26" t="n">
        <v>53</v>
      </c>
      <c r="D11" s="26" t="n">
        <v>101</v>
      </c>
      <c r="E11" s="26" t="n">
        <v>16</v>
      </c>
      <c r="F11" s="26" t="n">
        <v>103</v>
      </c>
      <c r="G11" s="27" t="n">
        <v>0.768</v>
      </c>
      <c r="H11" s="27" t="n">
        <v>0.344</v>
      </c>
      <c r="I11" s="27" t="n">
        <v>0.232</v>
      </c>
    </row>
    <row r="12" customFormat="false" ht="15" hidden="false" customHeight="true" outlineLevel="0" collapsed="false">
      <c r="A12" s="25" t="s">
        <v>55</v>
      </c>
      <c r="B12" s="26" t="n">
        <v>273</v>
      </c>
      <c r="C12" s="26" t="n">
        <v>26</v>
      </c>
      <c r="D12" s="26" t="n">
        <v>37</v>
      </c>
      <c r="E12" s="26" t="n">
        <v>43</v>
      </c>
      <c r="F12" s="26" t="n">
        <v>167</v>
      </c>
      <c r="G12" s="27" t="n">
        <v>0.377</v>
      </c>
      <c r="H12" s="27" t="n">
        <v>0.413</v>
      </c>
      <c r="I12" s="27" t="n">
        <v>0.623</v>
      </c>
    </row>
    <row r="15" customFormat="false" ht="19.5" hidden="false" customHeight="true" outlineLevel="0" collapsed="false">
      <c r="A15" s="28" t="s">
        <v>95</v>
      </c>
      <c r="B15" s="28"/>
      <c r="C15" s="28"/>
      <c r="D15" s="28"/>
      <c r="E15" s="28"/>
      <c r="F15" s="28"/>
      <c r="G15" s="28"/>
      <c r="H15" s="28"/>
    </row>
    <row r="16" customFormat="false" ht="27.75" hidden="false" customHeight="true" outlineLevel="0" collapsed="false">
      <c r="A16" s="29" t="s">
        <v>40</v>
      </c>
      <c r="B16" s="29" t="s">
        <v>96</v>
      </c>
      <c r="C16" s="29" t="s">
        <v>97</v>
      </c>
      <c r="D16" s="29" t="s">
        <v>98</v>
      </c>
      <c r="E16" s="29" t="s">
        <v>99</v>
      </c>
      <c r="F16" s="29" t="s">
        <v>100</v>
      </c>
    </row>
    <row r="17" customFormat="false" ht="15" hidden="false" customHeight="true" outlineLevel="0" collapsed="false">
      <c r="A17" s="30" t="s">
        <v>52</v>
      </c>
      <c r="B17" s="31" t="n">
        <v>312308</v>
      </c>
      <c r="C17" s="31" t="n">
        <v>134586</v>
      </c>
      <c r="D17" s="32" t="n">
        <v>183432575199</v>
      </c>
      <c r="E17" s="32" t="n">
        <v>72464905299</v>
      </c>
      <c r="F17" s="33" t="n">
        <v>0.605</v>
      </c>
    </row>
    <row r="18" customFormat="false" ht="15" hidden="false" customHeight="true" outlineLevel="0" collapsed="false">
      <c r="A18" s="34" t="s">
        <v>53</v>
      </c>
      <c r="B18" s="31" t="n">
        <v>312308</v>
      </c>
      <c r="C18" s="31" t="n">
        <v>90260</v>
      </c>
      <c r="D18" s="32" t="n">
        <v>183432575199</v>
      </c>
      <c r="E18" s="32" t="n">
        <v>94346596449</v>
      </c>
      <c r="F18" s="33" t="n">
        <v>0.486</v>
      </c>
    </row>
    <row r="19" customFormat="false" ht="15" hidden="false" customHeight="true" outlineLevel="0" collapsed="false">
      <c r="A19" s="30" t="s">
        <v>55</v>
      </c>
      <c r="B19" s="31" t="n">
        <v>312308</v>
      </c>
      <c r="C19" s="31" t="n">
        <v>28437</v>
      </c>
      <c r="D19" s="32" t="n">
        <v>183432575199</v>
      </c>
      <c r="E19" s="32" t="n">
        <v>147115762310</v>
      </c>
      <c r="F19" s="33" t="n">
        <v>0.198</v>
      </c>
    </row>
    <row r="22" customFormat="false" ht="19.5" hidden="false" customHeight="true" outlineLevel="0" collapsed="false">
      <c r="A22" s="35" t="s">
        <v>101</v>
      </c>
      <c r="B22" s="35"/>
      <c r="C22" s="35"/>
      <c r="D22" s="35"/>
      <c r="E22" s="35"/>
      <c r="F22" s="35"/>
      <c r="G22" s="35"/>
      <c r="H22" s="35"/>
    </row>
    <row r="23" customFormat="false" ht="13.5" hidden="false" customHeight="true" outlineLevel="0" collapsed="false">
      <c r="A23" s="36" t="s">
        <v>102</v>
      </c>
      <c r="B23" s="36"/>
      <c r="C23" s="36"/>
      <c r="D23" s="36"/>
      <c r="E23" s="36"/>
      <c r="F23" s="36"/>
      <c r="G23" s="36"/>
      <c r="H23" s="36"/>
    </row>
    <row r="24" customFormat="false" ht="13.5" hidden="false" customHeight="true" outlineLevel="0" collapsed="false">
      <c r="A24" s="36" t="s">
        <v>103</v>
      </c>
      <c r="B24" s="36"/>
      <c r="C24" s="36"/>
      <c r="D24" s="36"/>
      <c r="E24" s="36"/>
      <c r="F24" s="36"/>
      <c r="G24" s="36"/>
      <c r="H24" s="36"/>
    </row>
    <row r="25" customFormat="false" ht="13.5" hidden="false" customHeight="true" outlineLevel="0" collapsed="false">
      <c r="A25" s="36" t="s">
        <v>104</v>
      </c>
      <c r="B25" s="36"/>
      <c r="C25" s="36"/>
      <c r="D25" s="36"/>
      <c r="E25" s="36"/>
      <c r="F25" s="36"/>
      <c r="G25" s="36"/>
      <c r="H25" s="36"/>
    </row>
    <row r="26" customFormat="false" ht="13.5" hidden="false" customHeight="true" outlineLevel="0" collapsed="false">
      <c r="A26" s="36" t="s">
        <v>105</v>
      </c>
      <c r="B26" s="36"/>
      <c r="C26" s="36"/>
      <c r="D26" s="36"/>
      <c r="E26" s="36"/>
      <c r="F26" s="36"/>
      <c r="G26" s="36"/>
      <c r="H26" s="36"/>
    </row>
    <row r="27" customFormat="false" ht="13.5" hidden="false" customHeight="true" outlineLevel="0" collapsed="false">
      <c r="A27" s="36" t="s">
        <v>106</v>
      </c>
      <c r="B27" s="36"/>
      <c r="C27" s="36"/>
      <c r="D27" s="36"/>
      <c r="E27" s="36"/>
      <c r="F27" s="36"/>
      <c r="G27" s="36"/>
      <c r="H27" s="36"/>
    </row>
    <row r="28" customFormat="false" ht="13.5" hidden="false" customHeight="true" outlineLevel="0" collapsed="false">
      <c r="A28" s="36" t="s">
        <v>107</v>
      </c>
      <c r="B28" s="36"/>
      <c r="C28" s="36"/>
      <c r="D28" s="36"/>
      <c r="E28" s="36"/>
      <c r="F28" s="36"/>
      <c r="G28" s="36"/>
      <c r="H28" s="36"/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6" min="2" style="1" width="20"/>
  </cols>
  <sheetData>
    <row r="1" customFormat="false" ht="25.5" hidden="false" customHeight="true" outlineLevel="0" collapsed="false">
      <c r="A1" s="19" t="s">
        <v>108</v>
      </c>
      <c r="B1" s="19"/>
      <c r="C1" s="19"/>
      <c r="D1" s="19"/>
      <c r="E1" s="19"/>
      <c r="F1" s="19"/>
    </row>
    <row r="3" customFormat="false" ht="19.5" hidden="false" customHeight="true" outlineLevel="0" collapsed="false">
      <c r="A3" s="23" t="s">
        <v>109</v>
      </c>
      <c r="B3" s="23"/>
      <c r="C3" s="23"/>
      <c r="D3" s="23"/>
      <c r="E3" s="23"/>
      <c r="F3" s="23"/>
    </row>
    <row r="4" customFormat="false" ht="42" hidden="false" customHeight="true" outlineLevel="0" collapsed="false">
      <c r="A4" s="37" t="s">
        <v>110</v>
      </c>
      <c r="B4" s="38" t="s">
        <v>111</v>
      </c>
      <c r="C4" s="38"/>
      <c r="D4" s="38"/>
      <c r="E4" s="38"/>
      <c r="F4" s="38"/>
    </row>
    <row r="5" customFormat="false" ht="31.5" hidden="false" customHeight="true" outlineLevel="0" collapsed="false">
      <c r="A5" s="37" t="s">
        <v>112</v>
      </c>
      <c r="B5" s="38" t="s">
        <v>113</v>
      </c>
      <c r="C5" s="38"/>
      <c r="D5" s="38"/>
      <c r="E5" s="38"/>
      <c r="F5" s="38"/>
    </row>
    <row r="6" customFormat="false" ht="31.5" hidden="false" customHeight="true" outlineLevel="0" collapsed="false">
      <c r="A6" s="37" t="s">
        <v>114</v>
      </c>
      <c r="B6" s="38" t="s">
        <v>115</v>
      </c>
      <c r="C6" s="38"/>
      <c r="D6" s="38"/>
      <c r="E6" s="38"/>
      <c r="F6" s="38"/>
    </row>
    <row r="7" customFormat="false" ht="19.5" hidden="false" customHeight="true" outlineLevel="0" collapsed="false">
      <c r="A7" s="23" t="s">
        <v>116</v>
      </c>
      <c r="B7" s="23"/>
      <c r="C7" s="23"/>
      <c r="D7" s="23"/>
      <c r="E7" s="23"/>
      <c r="F7" s="23"/>
    </row>
    <row r="8" customFormat="false" ht="31.5" hidden="false" customHeight="true" outlineLevel="0" collapsed="false">
      <c r="A8" s="37" t="s">
        <v>117</v>
      </c>
      <c r="B8" s="38" t="s">
        <v>118</v>
      </c>
      <c r="C8" s="38"/>
      <c r="D8" s="38"/>
      <c r="E8" s="38"/>
      <c r="F8" s="38"/>
    </row>
    <row r="9" customFormat="false" ht="31.5" hidden="false" customHeight="true" outlineLevel="0" collapsed="false">
      <c r="A9" s="37" t="s">
        <v>119</v>
      </c>
      <c r="B9" s="38" t="s">
        <v>120</v>
      </c>
      <c r="C9" s="38"/>
      <c r="D9" s="38"/>
      <c r="E9" s="38"/>
      <c r="F9" s="38"/>
    </row>
    <row r="10" customFormat="false" ht="31.5" hidden="false" customHeight="true" outlineLevel="0" collapsed="false">
      <c r="A10" s="37" t="s">
        <v>121</v>
      </c>
      <c r="B10" s="38" t="s">
        <v>122</v>
      </c>
      <c r="C10" s="38"/>
      <c r="D10" s="38"/>
      <c r="E10" s="38"/>
      <c r="F10" s="38"/>
    </row>
    <row r="11" customFormat="false" ht="19.5" hidden="false" customHeight="true" outlineLevel="0" collapsed="false">
      <c r="A11" s="23" t="s">
        <v>123</v>
      </c>
      <c r="B11" s="23"/>
      <c r="C11" s="23"/>
      <c r="D11" s="23"/>
      <c r="E11" s="23"/>
      <c r="F11" s="23"/>
    </row>
    <row r="12" customFormat="false" ht="55.5" hidden="false" customHeight="true" outlineLevel="0" collapsed="false">
      <c r="A12" s="37" t="s">
        <v>124</v>
      </c>
      <c r="B12" s="38" t="s">
        <v>125</v>
      </c>
      <c r="C12" s="38"/>
      <c r="D12" s="38"/>
      <c r="E12" s="38"/>
      <c r="F12" s="38"/>
    </row>
    <row r="13" customFormat="false" ht="19.5" hidden="false" customHeight="true" outlineLevel="0" collapsed="false">
      <c r="A13" s="23" t="s">
        <v>126</v>
      </c>
      <c r="B13" s="23"/>
      <c r="C13" s="23"/>
      <c r="D13" s="23"/>
      <c r="E13" s="23"/>
      <c r="F13" s="23"/>
    </row>
    <row r="14" customFormat="false" ht="31.5" hidden="false" customHeight="true" outlineLevel="0" collapsed="false">
      <c r="A14" s="37" t="s">
        <v>127</v>
      </c>
      <c r="B14" s="38" t="s">
        <v>128</v>
      </c>
      <c r="C14" s="38"/>
      <c r="D14" s="38"/>
      <c r="E14" s="38"/>
      <c r="F14" s="38"/>
    </row>
    <row r="15" customFormat="false" ht="42" hidden="false" customHeight="true" outlineLevel="0" collapsed="false">
      <c r="A15" s="37" t="s">
        <v>129</v>
      </c>
      <c r="B15" s="38" t="s">
        <v>130</v>
      </c>
      <c r="C15" s="38"/>
      <c r="D15" s="38"/>
      <c r="E15" s="38"/>
      <c r="F15" s="38"/>
    </row>
    <row r="16" customFormat="false" ht="42" hidden="false" customHeight="true" outlineLevel="0" collapsed="false">
      <c r="A16" s="37" t="s">
        <v>131</v>
      </c>
      <c r="B16" s="38" t="s">
        <v>132</v>
      </c>
      <c r="C16" s="38"/>
      <c r="D16" s="38"/>
      <c r="E16" s="38"/>
      <c r="F16" s="38"/>
    </row>
    <row r="17" customFormat="false" ht="69.75" hidden="false" customHeight="true" outlineLevel="0" collapsed="false">
      <c r="A17" s="37" t="s">
        <v>133</v>
      </c>
      <c r="B17" s="38" t="s">
        <v>134</v>
      </c>
      <c r="C17" s="38"/>
      <c r="D17" s="38"/>
      <c r="E17" s="38"/>
      <c r="F17" s="38"/>
    </row>
    <row r="18" customFormat="false" ht="31.5" hidden="false" customHeight="true" outlineLevel="0" collapsed="false">
      <c r="A18" s="37" t="s">
        <v>135</v>
      </c>
      <c r="B18" s="38" t="s">
        <v>136</v>
      </c>
      <c r="C18" s="38"/>
      <c r="D18" s="38"/>
      <c r="E18" s="38"/>
      <c r="F18" s="38"/>
    </row>
    <row r="19" customFormat="false" ht="19.5" hidden="false" customHeight="true" outlineLevel="0" collapsed="false">
      <c r="A19" s="23" t="s">
        <v>137</v>
      </c>
      <c r="B19" s="23"/>
      <c r="C19" s="23"/>
      <c r="D19" s="23"/>
      <c r="E19" s="23"/>
      <c r="F19" s="23"/>
    </row>
    <row r="20" customFormat="false" ht="42" hidden="false" customHeight="true" outlineLevel="0" collapsed="false">
      <c r="A20" s="37" t="s">
        <v>138</v>
      </c>
      <c r="B20" s="38" t="s">
        <v>139</v>
      </c>
      <c r="C20" s="38"/>
      <c r="D20" s="38"/>
      <c r="E20" s="38"/>
      <c r="F20" s="38"/>
    </row>
    <row r="21" customFormat="false" ht="19.5" hidden="false" customHeight="true" outlineLevel="0" collapsed="false">
      <c r="A21" s="23" t="s">
        <v>140</v>
      </c>
      <c r="B21" s="23"/>
      <c r="C21" s="23"/>
      <c r="D21" s="23"/>
      <c r="E21" s="23"/>
      <c r="F21" s="23"/>
    </row>
    <row r="22" customFormat="false" ht="42" hidden="false" customHeight="true" outlineLevel="0" collapsed="false">
      <c r="A22" s="37" t="s">
        <v>141</v>
      </c>
      <c r="B22" s="38" t="s">
        <v>142</v>
      </c>
      <c r="C22" s="38"/>
      <c r="D22" s="38"/>
      <c r="E22" s="38"/>
      <c r="F22" s="38"/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2026-08-18T22:16:20Z</dcterms:created>
  <dc:creator>openpyxl</dc:creator>
  <dc:description/>
  <dc:language>en-US</dc:language>
  <cp:lastModifiedBy/>
  <dcterms:modified xsi:type="dcterms:W3CDTF">2026-08-19T18:41:56Z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